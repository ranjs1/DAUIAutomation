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17" i="38" l="1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J16" i="39"/>
  <c r="J16" i="38" s="1"/>
  <c r="J17" i="39"/>
  <c r="J18" i="39"/>
  <c r="J19" i="39"/>
  <c r="J20" i="39"/>
  <c r="J21" i="39"/>
  <c r="J22" i="39"/>
  <c r="J23" i="39"/>
  <c r="J24" i="39"/>
  <c r="J25" i="39"/>
  <c r="J26" i="39"/>
  <c r="J27" i="39"/>
  <c r="J28" i="39"/>
  <c r="J29" i="39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9" l="1"/>
  <c r="M16" i="38" s="1"/>
  <c r="I16" i="38"/>
  <c r="K16" i="39"/>
  <c r="P16" i="39"/>
  <c r="L16" i="38"/>
  <c r="H16" i="38"/>
  <c r="V23" i="34"/>
  <c r="V22" i="34"/>
  <c r="V21" i="34"/>
  <c r="V20" i="34"/>
  <c r="V19" i="34"/>
  <c r="V18" i="34"/>
  <c r="V17" i="34"/>
  <c r="V16" i="34"/>
  <c r="Q16" i="39" l="1"/>
  <c r="P16" i="38"/>
  <c r="S16" i="39"/>
  <c r="S16" i="38" s="1"/>
  <c r="N16" i="39"/>
  <c r="N16" i="38" s="1"/>
  <c r="K16" i="38"/>
  <c r="Q46" i="34"/>
  <c r="P46" i="34"/>
  <c r="N46" i="34"/>
  <c r="M46" i="34"/>
  <c r="K46" i="34"/>
  <c r="H46" i="34"/>
  <c r="I46" i="34" s="1"/>
  <c r="Q16" i="38" l="1"/>
  <c r="R16" i="39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B10" i="40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s="1"/>
  <c r="B11" i="38" s="1"/>
  <c r="AK37" i="32" l="1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O63" i="33"/>
  <c r="G62" i="33"/>
  <c r="G63" i="33"/>
  <c r="H63" i="33" s="1"/>
  <c r="L62" i="33"/>
  <c r="A79" i="33"/>
  <c r="P62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N64" i="34" l="1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<sst xmlns="http://schemas.openxmlformats.org/spreadsheetml/2006/main" count="944" uniqueCount="273">
  <si>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</si>
  <si>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</si>
  <si>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</si>
  <si>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</si>
  <si>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</si>
  <si>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</si>
  <si>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</si>
  <si>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</si>
  <si>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</si>
  <si>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</si>
  <si>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</si>
  <si>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</si>
  <si>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</si>
  <si>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</si>
  <si>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</si>
  <si>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</si>
  <si>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</si>
  <si>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</si>
  <si>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</si>
  <si>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</si>
  <si>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</si>
  <si>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</si>
  <si>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</si>
  <si>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</si>
  <si>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</si>
  <si>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</si>
  <si>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</si>
  <si>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</si>
  <si>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</si>
  <si>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</si>
  <si>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</si>
  <si>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</si>
  <si>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</si>
  <si>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</si>
  <si>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</si>
  <si>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</si>
  <si>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</si>
  <si>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</si>
  <si>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</si>
  <si>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</si>
  <si>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</si>
  <si>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</si>
  <si>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</si>
  <si>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</si>
  <si>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</si>
  <si>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</si>
  <si>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</si>
  <si>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</si>
  <si>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</si>
  <si>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</si>
  <si>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</si>
  <si>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</si>
  <si>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</si>
  <si>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</si>
  <si>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</si>
  <si>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</si>
  <si>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</si>
  <si>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</si>
  <si>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</si>
  <si>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</si>
  <si>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</si>
  <si>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</si>
  <si>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</si>
  <si>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</si>
  <si>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</si>
  <si>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</si>
  <si>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</si>
  <si>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</si>
  <si>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</si>
  <si>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</si>
  <si>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</si>
  <si>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</si>
  <si>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</si>
  <si>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</si>
  <si>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</si>
  <si>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</si>
  <si>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</si>
  <si>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</si>
  <si>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</si>
  <si>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</si>
  <si>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</si>
  <si>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</si>
  <si>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</si>
  <si>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</si>
  <si>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</si>
  <si>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</si>
  <si>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</si>
  <si>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</si>
  <si>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</si>
  <si>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</si>
  <si>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</si>
  <si>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</si>
  <si>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</si>
  <si>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</si>
  <si>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</si>
  <si>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</si>
  <si>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</si>
  <si>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</si>
  <si>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</si>
  <si>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</si>
  <si>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</si>
  <si>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</si>
  <si>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</si>
  <si>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</si>
  <si>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</si>
  <si>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</si>
  <si>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</si>
  <si>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</si>
  <si>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</si>
  <si>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</si>
  <si>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</si>
  <si>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</si>
  <si>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</si>
  <si>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</si>
  <si>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</si>
  <si>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</si>
  <si>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</si>
  <si>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</si>
  <si>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</si>
  <si>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</si>
  <si>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</si>
  <si>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</si>
  <si>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</si>
  <si>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</si>
  <si>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</si>
  <si>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</si>
  <si>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</si>
  <si>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</si>
  <si>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</si>
  <si>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</si>
  <si>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</si>
  <si>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</si>
  <si>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</si>
  <si>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</si>
  <si>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</si>
  <si>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</si>
  <si>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</si>
  <si>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</si>
  <si>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</si>
  <si>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</si>
  <si>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</si>
  <si>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</si>
  <si>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</si>
  <si>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</si>
  <si>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</si>
  <si>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</si>
  <si>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</si>
  <si>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</si>
  <si>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</si>
  <si>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</si>
  <si>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</si>
  <si>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</si>
  <si>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</si>
  <si>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</si>
  <si>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</si>
  <si>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</si>
  <si>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</si>
  <si>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</si>
  <si>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</si>
  <si>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</si>
  <si>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</si>
  <si>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</si>
  <si>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</si>
  <si>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</si>
  <si>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</si>
  <si>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</si>
  <si>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</si>
  <si>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</si>
  <si>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</si>
  <si>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</si>
  <si>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</si>
  <si>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</si>
  <si>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</si>
  <si>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</si>
  <si>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</si>
  <si>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</si>
  <si>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</si>
  <si>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</si>
  <si>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</si>
  <si>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</si>
  <si>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</si>
  <si>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</si>
  <si>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</si>
  <si>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</si>
  <si>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</si>
  <si>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</si>
  <si>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</si>
  <si>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</si>
  <si>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</si>
  <si>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</si>
  <si>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</si>
  <si>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</si>
  <si>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</si>
  <si>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</si>
  <si>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</si>
  <si>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</si>
  <si>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</si>
  <si>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</si>
  <si>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</si>
  <si>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</si>
  <si>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</si>
  <si>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</si>
  <si>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</si>
  <si>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</si>
  <si>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</si>
  <si>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</si>
  <si>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</si>
  <si>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</si>
  <si>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</si>
  <si>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</si>
  <si>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</si>
  <si>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</si>
  <si>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</si>
  <si>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</si>
  <si>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</si>
  <si>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</si>
  <si>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</si>
  <si>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</si>
  <si>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</si>
  <si>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</si>
  <si>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</si>
  <si>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</si>
  <si>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</si>
  <si>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</si>
  <si>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</si>
  <si>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</si>
  <si>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</si>
  <si>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</si>
  <si>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</si>
  <si>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</si>
  <si>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</si>
  <si>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</si>
  <si>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</si>
  <si>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</si>
  <si>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</si>
  <si>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</si>
  <si>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</si>
  <si>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</si>
  <si>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</si>
  <si>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</si>
  <si>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</si>
  <si>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</si>
  <si>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</si>
  <si>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</si>
  <si>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</si>
  <si>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</si>
  <si>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</si>
  <si>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</si>
  <si>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</si>
  <si>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</si>
  <si>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</si>
  <si>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</si>
  <si>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</si>
  <si>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</si>
  <si>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</si>
  <si>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</si>
  <si>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</si>
  <si>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</si>
  <si>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</si>
  <si>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</si>
  <si>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</si>
  <si>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</si>
  <si>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</si>
  <si>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</si>
  <si>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Quote</t>
  </si>
  <si>
    <t>SCRUM</t>
  </si>
  <si>
    <t>Jeff</t>
  </si>
  <si>
    <t>Any 2</t>
  </si>
  <si>
    <t>Any</t>
  </si>
  <si>
    <t>Staff Augmentation</t>
  </si>
  <si>
    <t xml:space="preserve"> </t>
  </si>
  <si>
    <t>PEGA</t>
  </si>
  <si>
    <t>TEST_AUTO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</si>
</sst>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264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271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270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2114100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916110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1197990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0.56666666666666665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6264</v>
      </c>
      <c r="C24" s="79">
        <f>BID!P32+BID!P43</f>
        <v>1879200</v>
      </c>
      <c r="D24" s="79">
        <f>BID!P47+BID!P46</f>
        <v>0</v>
      </c>
      <c r="E24" s="79">
        <f>BID!P45</f>
        <v>234900</v>
      </c>
      <c r="F24" s="79"/>
      <c r="G24" s="112">
        <f>BID!P61</f>
        <v>2114100</v>
      </c>
      <c r="H24" s="79">
        <f>BID!K59</f>
        <v>2208060</v>
      </c>
      <c r="I24" s="79">
        <f>BID!M59</f>
        <v>916110</v>
      </c>
      <c r="J24" s="79">
        <f>G24-I24</f>
        <v>1197990</v>
      </c>
      <c r="K24" s="151">
        <f>IF(G24&gt;0,J24/G24,0)</f>
        <v>0.56666666666666665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6264</v>
      </c>
      <c r="C27" s="80">
        <f>SUM(C24:C26)</f>
        <v>1879200</v>
      </c>
      <c r="D27" s="80">
        <f>SUM(D24:D26)</f>
        <v>0</v>
      </c>
      <c r="E27" s="80">
        <f>SUM(E24:E26)</f>
        <v>234900</v>
      </c>
      <c r="F27" s="80"/>
      <c r="G27" s="114">
        <f>SUM(G24:G26)</f>
        <v>2114100</v>
      </c>
      <c r="H27" s="80">
        <f>SUM(H24:H26)</f>
        <v>2208060</v>
      </c>
      <c r="I27" s="80">
        <f>SUM(I24:I26)</f>
        <v>916110</v>
      </c>
      <c r="J27" s="81">
        <f>G27-I27</f>
        <v>1197990</v>
      </c>
      <c r="K27" s="154">
        <f>IF(G27&gt;0,J27/G27,0)</f>
        <v>0.56666666666666665</v>
      </c>
      <c r="L27" s="196">
        <f>IF(B27&gt;0,G27/B27,0)</f>
        <v>337.5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TEST_AUTO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TEST_AUTO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783</v>
      </c>
      <c r="I32" s="412">
        <f>SUM(I14:I31)</f>
        <v>6264</v>
      </c>
      <c r="J32" s="33"/>
      <c r="K32" s="413">
        <f>SUM(K14:K31)</f>
        <v>1962720</v>
      </c>
      <c r="L32" s="215"/>
      <c r="M32" s="215">
        <f>SUM(M14:M31)</f>
        <v>814320</v>
      </c>
      <c r="N32" s="413">
        <f>SUM(N14:N31)</f>
        <v>1148400</v>
      </c>
      <c r="P32" s="215">
        <f>SUM(P14:P31)</f>
        <v>1879200</v>
      </c>
      <c r="Q32" s="413">
        <f>SUM(Q14:Q31)</f>
        <v>1064880</v>
      </c>
      <c r="R32" s="414">
        <f>IF(H32=0,"",Q32/P32)</f>
        <v>0.56666666666666665</v>
      </c>
      <c r="S32" s="51">
        <f>IF(H32=0,"",1-P32/K32)</f>
        <v>4.2553191489361653E-2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245340</v>
      </c>
      <c r="L45" s="215"/>
      <c r="M45" s="421">
        <f>BID!M45</f>
        <v>101790</v>
      </c>
      <c r="N45" s="421">
        <f>BID!N45</f>
        <v>143550</v>
      </c>
      <c r="P45" s="421">
        <f>BID!P45</f>
        <v>234900</v>
      </c>
      <c r="Q45" s="421">
        <f>BID!Q45</f>
        <v>133110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783</v>
      </c>
      <c r="I48" s="422">
        <f>BID!I48</f>
        <v>6264</v>
      </c>
      <c r="J48" s="33"/>
      <c r="K48" s="421">
        <f>BID!K48</f>
        <v>2208060</v>
      </c>
      <c r="L48" s="215"/>
      <c r="M48" s="421">
        <f>BID!M48</f>
        <v>916110</v>
      </c>
      <c r="N48" s="421">
        <f>BID!N48</f>
        <v>1291950</v>
      </c>
      <c r="P48" s="421">
        <f>BID!P48</f>
        <v>2114100</v>
      </c>
      <c r="Q48" s="421">
        <f>BID!Q48</f>
        <v>1197990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783</v>
      </c>
      <c r="I59" s="412">
        <f>I48+I56</f>
        <v>6264</v>
      </c>
      <c r="J59" s="33"/>
      <c r="K59" s="413">
        <f>K48</f>
        <v>2208060</v>
      </c>
      <c r="L59" s="215"/>
      <c r="M59" s="215">
        <f>M48+M58</f>
        <v>916110</v>
      </c>
      <c r="N59" s="413">
        <f>N48</f>
        <v>1291950</v>
      </c>
      <c r="P59" s="215">
        <f>P48+P58</f>
        <v>2114100</v>
      </c>
      <c r="Q59" s="413">
        <f>Q48</f>
        <v>1197990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2114100</v>
      </c>
      <c r="Q61" s="67">
        <f>P61-M59</f>
        <v>1197990</v>
      </c>
      <c r="R61" s="414">
        <f>BID!R59</f>
        <v>0.56666666666666665</v>
      </c>
      <c r="S61" s="414">
        <f>BID!S59</f>
        <v>4.2553191489361653E-2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743.84999999999991</v>
      </c>
      <c r="I63" s="412">
        <f>I59*(1-$G$8)</f>
        <v>5950.7999999999993</v>
      </c>
      <c r="J63" s="33"/>
      <c r="K63" s="413">
        <f>K59*(1-$G$8)</f>
        <v>2097657</v>
      </c>
      <c r="L63" s="215"/>
      <c r="M63" s="215">
        <f>M59*(1-$G$8)</f>
        <v>870304.5</v>
      </c>
      <c r="N63" s="413">
        <f>N59*(1-$G$8)</f>
        <v>1227352.5</v>
      </c>
      <c r="O63" s="386"/>
      <c r="P63" s="215">
        <f>P59*(1-$G$8)</f>
        <v>2008395</v>
      </c>
      <c r="Q63" s="413">
        <f>Q59*(1-$G$8)</f>
        <v>1138090.5</v>
      </c>
      <c r="R63" s="414">
        <f>IF(ISBLANK(A63),"",IF(P63&gt;0,Q63/P63,0))</f>
        <v>0.56666666666666665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939.59999999999991</v>
      </c>
      <c r="I64" s="412">
        <f>I59*(1+$G$9)</f>
        <v>7516.7999999999993</v>
      </c>
      <c r="J64" s="33"/>
      <c r="K64" s="413">
        <f>K59*(1+$G$9)</f>
        <v>2649672</v>
      </c>
      <c r="L64" s="215"/>
      <c r="M64" s="215">
        <f>M59*(1+$G$9)</f>
        <v>1099332</v>
      </c>
      <c r="N64" s="413">
        <f>N59*(1+$G$9)</f>
        <v>1550340</v>
      </c>
      <c r="O64" s="386"/>
      <c r="P64" s="215">
        <f>P59*(1+$G$9)</f>
        <v>2536920</v>
      </c>
      <c r="Q64" s="413">
        <f>Q59*(1+$G$9)</f>
        <v>1437588</v>
      </c>
      <c r="R64" s="414">
        <f>IF(ISBLANK(A64),"",IF(P64&gt;0,Q64/P64,0))</f>
        <v>0.56666666666666665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6" sqref="B6: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TEST_AUTO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783</v>
      </c>
      <c r="I32" s="9">
        <f>SUM(I14:I31)</f>
        <v>6264</v>
      </c>
      <c r="J32" s="31"/>
      <c r="K32" s="36">
        <f>SUM(K14:K31)</f>
        <v>1962720</v>
      </c>
      <c r="L32" s="205"/>
      <c r="M32" s="205">
        <f>SUM(M14:M31)</f>
        <v>814320</v>
      </c>
      <c r="N32" s="36">
        <f>SUM(N14:N31)</f>
        <v>1148400</v>
      </c>
      <c r="O32" s="33"/>
      <c r="P32" s="205">
        <f>SUM(P14:P31)</f>
        <v>1879200</v>
      </c>
      <c r="Q32" s="36">
        <f>SUM(Q14:Q31)</f>
        <v>1064880</v>
      </c>
      <c r="R32" s="15">
        <f>IF(H32=0,"",Q32/P32)</f>
        <v>0.56666666666666665</v>
      </c>
      <c r="S32" s="8">
        <f>IF(H32=0,"",1-P32/K32)</f>
        <v>4.2553191489361653E-2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245340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101790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143550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234900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133110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783</v>
      </c>
      <c r="I48" s="448">
        <f>IF(ISBLANK($B$6),0,H48*$B$9)</f>
        <v>6264</v>
      </c>
      <c r="J48" s="33"/>
      <c r="K48" s="17">
        <f>K32+K43+K45+K46+K47</f>
        <v>2208060</v>
      </c>
      <c r="L48" s="205"/>
      <c r="M48" s="17">
        <f>M32+M43+M45+M46+M47</f>
        <v>916110</v>
      </c>
      <c r="N48" s="17">
        <f>N32+N43+N45+N47+N58+N46</f>
        <v>1291950</v>
      </c>
      <c r="P48" s="17">
        <f>P32+P43+P45+P46+P47</f>
        <v>2114100</v>
      </c>
      <c r="Q48" s="17">
        <f>Q32+Q43+Q45+Q47+Q58+Q46</f>
        <v>1197990</v>
      </c>
      <c r="R48" s="15">
        <f>IF(ISBLANK(A48),"",IF(P48&gt;0,Q48/P48,0))</f>
        <v>0.56666666666666665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783</v>
      </c>
      <c r="I59" s="9">
        <f>I48+I56</f>
        <v>6264</v>
      </c>
      <c r="J59" s="31"/>
      <c r="K59" s="36">
        <f>K48</f>
        <v>2208060</v>
      </c>
      <c r="L59" s="205"/>
      <c r="M59" s="205">
        <f>M48+M58</f>
        <v>916110</v>
      </c>
      <c r="N59" s="36">
        <f>N48</f>
        <v>1291950</v>
      </c>
      <c r="O59" s="33"/>
      <c r="P59" s="205">
        <f>P48+P58</f>
        <v>2114100</v>
      </c>
      <c r="Q59" s="36">
        <f>Q48</f>
        <v>1197990</v>
      </c>
      <c r="R59" s="15">
        <f>IF(ISBLANK(A59),"",IF(P59&gt;0,Q59/P59,0))</f>
        <v>0.56666666666666665</v>
      </c>
      <c r="S59" s="8">
        <f>IF(ISBLANK(A59),"",IF(K59&gt;0,1-P59/K59,1))</f>
        <v>4.2553191489361653E-2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2114100</v>
      </c>
      <c r="Q61" s="43">
        <f>P61-M59</f>
        <v>1197990</v>
      </c>
      <c r="R61" s="44">
        <f>IF(ISBLANK(A61),"",IF(P61&gt;0,Q61/P61,0))</f>
        <v>0.56666666666666665</v>
      </c>
      <c r="S61" s="45">
        <f>IF(ISBLANK(A61),"",IF(K59&gt;0,1-P61/K59,1))</f>
        <v>4.2553191489361653E-2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743.84999999999991</v>
      </c>
      <c r="I63" s="9">
        <f>I59*(1-$G$8)</f>
        <v>5950.7999999999993</v>
      </c>
      <c r="J63" s="31"/>
      <c r="K63" s="36">
        <f>K59*(1-$G$8)</f>
        <v>2097657</v>
      </c>
      <c r="L63" s="205"/>
      <c r="M63" s="205">
        <f>M59*(1-$G$8)</f>
        <v>870304.5</v>
      </c>
      <c r="N63" s="36">
        <f>N59*(1-$G$8)</f>
        <v>1227352.5</v>
      </c>
      <c r="O63" s="49"/>
      <c r="P63" s="205">
        <f>P59*(1-$G$8)</f>
        <v>2008395</v>
      </c>
      <c r="Q63" s="36">
        <f>Q59*(1-$G$8)</f>
        <v>1138090.5</v>
      </c>
      <c r="R63" s="15">
        <f>IF(ISBLANK(A63),"",IF(P63&gt;0,Q63/P63,0))</f>
        <v>0.56666666666666665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939.59999999999991</v>
      </c>
      <c r="I64" s="9">
        <f>I59*(1+$G$9)</f>
        <v>7516.7999999999993</v>
      </c>
      <c r="J64" s="31"/>
      <c r="K64" s="36">
        <f>K59*(1+$G$9)</f>
        <v>2649672</v>
      </c>
      <c r="L64" s="205"/>
      <c r="M64" s="205">
        <f>M59*(1+$G$9)</f>
        <v>1099332</v>
      </c>
      <c r="N64" s="36">
        <f>N59*(1+$G$9)</f>
        <v>1550340</v>
      </c>
      <c r="O64" s="49"/>
      <c r="P64" s="205">
        <f>P59*(1+$G$9)</f>
        <v>2536920</v>
      </c>
      <c r="Q64" s="36">
        <f>Q59*(1+$G$9)</f>
        <v>1437588</v>
      </c>
      <c r="R64" s="15">
        <f>IF(ISBLANK(A64),"",IF(P64&gt;0,Q64/P64,0))</f>
        <v>0.56666666666666665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TEST_AUTO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245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TEST_AUTO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345F13-1DBE-46D4-B0D7-304B49E202DD}">
  <ds:schemaRefs>
    <ds:schemaRef ds:uri="25c0f05f-b61a-491f-a19d-37e3a42ecd69"/>
    <ds:schemaRef ds:uri="http://schemas.microsoft.com/sharepoint/v3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87fa94fe-5ad7-4dd5-a490-5e3f0ba4b54b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2018-05-03T15:34:15Z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