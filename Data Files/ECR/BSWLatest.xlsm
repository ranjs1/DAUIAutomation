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240" yWindow="45" windowWidth="14220" windowHeight="8580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B7" i="14" l="1"/>
  <c r="B8" i="14"/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I16" i="38" l="1"/>
  <c r="P16" i="39"/>
  <c r="H16" i="38"/>
  <c r="V23" i="34"/>
  <c r="V22" i="34"/>
  <c r="V21" i="34"/>
  <c r="V20" i="34"/>
  <c r="V19" i="34"/>
  <c r="V18" i="34"/>
  <c r="V17" i="34"/>
  <c r="V16" i="34"/>
  <c r="P16" i="38" l="1"/>
  <c r="Q46" i="34"/>
  <c r="P46" i="34"/>
  <c r="N46" i="34"/>
  <c r="M46" i="34"/>
  <c r="K46" i="34"/>
  <c r="H46" i="34"/>
  <c r="I46" i="34" s="1"/>
  <c r="G30" i="14" l="1"/>
  <c r="G29" i="14"/>
  <c r="S46" i="40" l="1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14" i="40" l="1"/>
  <c r="H32" i="40" s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J16" i="39" l="1"/>
  <c r="L16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6" i="39" l="1"/>
  <c r="L16" i="38"/>
  <c r="J16" i="38"/>
  <c r="K16" i="39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K16" i="38" l="1"/>
  <c r="S16" i="39"/>
  <c r="S16" i="38" s="1"/>
  <c r="N16" i="39"/>
  <c r="N16" i="38" s="1"/>
  <c r="M16" i="38"/>
  <c r="Q16" i="39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Q16" i="38" l="1"/>
  <c r="R16" i="39"/>
  <c r="R16" i="38" s="1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M14" i="34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L14" i="40" l="1"/>
  <c r="M14" i="40"/>
  <c r="K15" i="34"/>
  <c r="J15" i="40"/>
  <c r="M15" i="34"/>
  <c r="L15" i="40"/>
  <c r="H45" i="34"/>
  <c r="I45" i="34" s="1"/>
  <c r="I45" i="40" s="1"/>
  <c r="H47" i="34"/>
  <c r="I47" i="34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K14" i="34"/>
  <c r="I32" i="34"/>
  <c r="R46" i="34"/>
  <c r="R48" i="40" s="1"/>
  <c r="S46" i="34"/>
  <c r="S48" i="40" s="1"/>
  <c r="P32" i="34"/>
  <c r="H47" i="40" l="1"/>
  <c r="H45" i="40"/>
  <c r="M32" i="34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G26" i="33"/>
  <c r="H26" i="33" s="1"/>
  <c r="R26" i="33" s="1"/>
  <c r="N32" i="40" l="1"/>
  <c r="M47" i="34"/>
  <c r="M47" i="40" s="1"/>
  <c r="K32" i="40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M48" i="34" l="1"/>
  <c r="Q47" i="34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Q48" i="34" l="1"/>
  <c r="Q48" i="40" s="1"/>
  <c r="Q59" i="40" s="1"/>
  <c r="Q64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Q63" i="40" l="1"/>
  <c r="R48" i="34"/>
  <c r="Q59" i="34"/>
  <c r="Q63" i="34" s="1"/>
  <c r="R63" i="34" s="1"/>
  <c r="S61" i="34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R59" i="34" l="1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B18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9" i="14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<sst xmlns="http://schemas.openxmlformats.org/spreadsheetml/2006/main" count="942" uniqueCount="271">
  <si>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</si>
  <si>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</si>
  <si>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</si>
  <si>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</si>
  <si>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</si>
  <si>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</si>
  <si>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</si>
  <si>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</si>
  <si>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</si>
  <si>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</si>
  <si>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</si>
  <si>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</si>
  <si>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</si>
  <si>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</si>
  <si>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</si>
  <si>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</si>
  <si>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</si>
  <si>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</si>
  <si>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</si>
  <si>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</si>
  <si>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</si>
  <si>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</si>
  <si>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</si>
  <si>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</si>
  <si>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</si>
  <si>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</si>
  <si>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</si>
  <si>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</si>
  <si>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</si>
  <si>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</si>
  <si>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</si>
  <si>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</si>
  <si>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</si>
  <si>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</si>
  <si>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</si>
  <si>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</si>
  <si>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</si>
  <si>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</si>
  <si>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</si>
  <si>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</si>
  <si>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</si>
  <si>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</si>
  <si>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</si>
  <si>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</si>
  <si>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</si>
  <si>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</si>
  <si>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</si>
  <si>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</si>
  <si>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</si>
  <si>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</si>
  <si>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</si>
  <si>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</si>
  <si>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</si>
  <si>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</si>
  <si>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</si>
  <si>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</si>
  <si>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</si>
  <si>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</si>
  <si>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</si>
  <si>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</si>
  <si>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</si>
  <si>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</si>
  <si>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</si>
  <si>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</si>
  <si>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</si>
  <si>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</si>
  <si>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</si>
  <si>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</si>
  <si>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</si>
  <si>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</si>
  <si>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</si>
  <si>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</si>
  <si>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</si>
  <si>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</si>
  <si>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</si>
  <si>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</si>
  <si>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</si>
  <si>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</si>
  <si>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</si>
  <si>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</si>
  <si>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</si>
  <si>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</si>
  <si>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</si>
  <si>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</si>
  <si>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</si>
  <si>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</si>
  <si>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</si>
  <si>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</si>
  <si>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</si>
  <si>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</si>
  <si>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</si>
  <si>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</si>
  <si>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</si>
  <si>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</si>
  <si>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</si>
  <si>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</si>
  <si>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</si>
  <si>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</si>
  <si>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</si>
  <si>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</si>
  <si>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</si>
  <si>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</si>
  <si>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</si>
  <si>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</si>
  <si>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</si>
  <si>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</si>
  <si>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</si>
  <si>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</si>
  <si>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</si>
  <si>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</si>
  <si>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</si>
  <si>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</si>
  <si>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</si>
  <si>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</si>
  <si>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</si>
  <si>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</si>
  <si>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</si>
  <si>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</si>
  <si>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</si>
  <si>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</si>
  <si>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</si>
  <si>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</si>
  <si>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</si>
  <si>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</si>
  <si>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</si>
  <si>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</si>
  <si>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</si>
  <si>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</si>
  <si>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</si>
  <si>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</si>
  <si>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</si>
  <si>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</si>
  <si>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</si>
  <si>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</si>
  <si>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</si>
  <si>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</si>
  <si>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</si>
  <si>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</si>
  <si>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</si>
  <si>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</si>
  <si>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</si>
  <si>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</si>
  <si>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</si>
  <si>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</si>
  <si>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</si>
  <si>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</si>
  <si>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</si>
  <si>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</si>
  <si>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</si>
  <si>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</si>
  <si>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</si>
  <si>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</si>
  <si>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</si>
  <si>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</si>
  <si>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</si>
  <si>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</si>
  <si>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</si>
  <si>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</si>
  <si>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</si>
  <si>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</si>
  <si>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</si>
  <si>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</si>
  <si>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</si>
  <si>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</si>
  <si>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</si>
  <si>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</si>
  <si>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</si>
  <si>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</si>
  <si>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</si>
  <si>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</si>
  <si>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</si>
  <si>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</si>
  <si>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</si>
  <si>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</si>
  <si>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</si>
  <si>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</si>
  <si>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</si>
  <si>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</si>
  <si>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</si>
  <si>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</si>
  <si>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</si>
  <si>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</si>
  <si>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</si>
  <si>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</si>
  <si>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</si>
  <si>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</si>
  <si>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</si>
  <si>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</si>
  <si>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</si>
  <si>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</si>
  <si>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</si>
  <si>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</si>
  <si>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</si>
  <si>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</si>
  <si>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</si>
  <si>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</si>
  <si>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</si>
  <si>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</si>
  <si>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</si>
  <si>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</si>
  <si>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</si>
  <si>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</si>
  <si>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</si>
  <si>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</si>
  <si>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</si>
  <si>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</si>
  <si>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</si>
  <si>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</si>
  <si>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</si>
  <si>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</si>
  <si>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</si>
  <si>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</si>
  <si>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</si>
  <si>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</si>
  <si>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</si>
  <si>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</si>
  <si>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</si>
  <si>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</si>
  <si>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</si>
  <si>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</si>
  <si>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</si>
  <si>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</si>
  <si>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</si>
  <si>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</si>
  <si>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</si>
  <si>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</si>
  <si>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</si>
  <si>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</si>
  <si>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</si>
  <si>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</si>
  <si>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</si>
  <si>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</si>
  <si>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</si>
  <si>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</si>
  <si>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</si>
  <si>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</si>
  <si>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</si>
  <si>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</si>
  <si>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</si>
  <si>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</si>
  <si>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</si>
  <si>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</si>
  <si>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</si>
  <si>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</si>
  <si>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</si>
  <si>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</si>
  <si>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</si>
  <si>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</si>
  <si>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</si>
  <si>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</si>
  <si>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</si>
  <si>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</si>
  <si>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</si>
  <si>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</si>
  <si>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</si>
  <si>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</si>
  <si>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</si>
  <si>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</si>
  <si>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</si>
  <si>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</si>
  <si>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</si>
  <si>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</si>
  <si>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Quote</t>
  </si>
  <si>
    <t>PEGA</t>
  </si>
  <si>
    <t>SCRUM</t>
  </si>
  <si>
    <t>Jeff</t>
  </si>
  <si>
    <t>Any 2</t>
  </si>
  <si>
    <t>Any</t>
  </si>
  <si>
    <t>Full Implementation</t>
  </si>
  <si>
    <t>MARCH29_DEV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</si>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</sst>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C16" sqref="C16"/>
    </sheetView>
  </sheetViews>
  <sheetFormatPr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185</v>
      </c>
      <c r="B1" s="85"/>
      <c r="D1" s="123" t="s">
        <v>161</v>
      </c>
      <c r="E1" s="123"/>
      <c r="F1" s="123"/>
      <c r="G1" s="123"/>
      <c r="H1" s="123"/>
    </row>
    <row r="2" spans="1:23" x14ac:dyDescent="0.2">
      <c r="A2" s="2" t="s">
        <v>186</v>
      </c>
      <c r="B2" s="85"/>
      <c r="D2" s="123" t="s">
        <v>189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269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43435</v>
      </c>
      <c r="W7" s="42"/>
    </row>
    <row r="8" spans="1:23" x14ac:dyDescent="0.2">
      <c r="A8" s="2" t="s">
        <v>5</v>
      </c>
      <c r="B8" s="84">
        <f>MAX(BID!B7)</f>
        <v>43466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262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270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187</v>
      </c>
      <c r="B11" s="97" t="s">
        <v>263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191</v>
      </c>
      <c r="B12" s="97" t="s">
        <v>268</v>
      </c>
      <c r="C12" s="4"/>
      <c r="D12" s="234" t="s">
        <v>184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188</v>
      </c>
      <c r="B13" s="97" t="s">
        <v>264</v>
      </c>
      <c r="C13" s="4"/>
      <c r="D13" s="234" t="s">
        <v>190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251</v>
      </c>
      <c r="B15" s="375" t="s">
        <v>260</v>
      </c>
      <c r="C15" s="4"/>
      <c r="D15" s="3" t="s">
        <v>259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297000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143748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153252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0.51600000000000001</v>
      </c>
    </row>
    <row r="20" spans="1:23" x14ac:dyDescent="0.2">
      <c r="A20" s="2" t="s">
        <v>193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258</v>
      </c>
      <c r="B24" s="78">
        <f>BID!I59</f>
        <v>880</v>
      </c>
      <c r="C24" s="79">
        <f>BID!P32+BID!P43</f>
        <v>264000</v>
      </c>
      <c r="D24" s="79">
        <f>BID!P47+BID!P46</f>
        <v>0</v>
      </c>
      <c r="E24" s="79">
        <f>BID!P45</f>
        <v>33000</v>
      </c>
      <c r="F24" s="79"/>
      <c r="G24" s="112">
        <f>BID!P61</f>
        <v>297000</v>
      </c>
      <c r="H24" s="79">
        <f>BID!K59</f>
        <v>308880</v>
      </c>
      <c r="I24" s="79">
        <f>BID!M59</f>
        <v>143748</v>
      </c>
      <c r="J24" s="79">
        <f>G24-I24</f>
        <v>153252</v>
      </c>
      <c r="K24" s="151">
        <f>IF(G24&gt;0,J24/G24,0)</f>
        <v>0.51600000000000001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880</v>
      </c>
      <c r="C27" s="80">
        <f>SUM(C24:C26)</f>
        <v>264000</v>
      </c>
      <c r="D27" s="80">
        <f>SUM(D24:D26)</f>
        <v>0</v>
      </c>
      <c r="E27" s="80">
        <f>SUM(E24:E26)</f>
        <v>33000</v>
      </c>
      <c r="F27" s="80"/>
      <c r="G27" s="114">
        <f>SUM(G24:G26)</f>
        <v>297000</v>
      </c>
      <c r="H27" s="80">
        <f>SUM(H24:H26)</f>
        <v>308880</v>
      </c>
      <c r="I27" s="80">
        <f>SUM(I24:I26)</f>
        <v>143748</v>
      </c>
      <c r="J27" s="81">
        <f>G27-I27</f>
        <v>153252</v>
      </c>
      <c r="K27" s="154">
        <f>IF(G27&gt;0,J27/G27,0)</f>
        <v>0.51600000000000001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249</v>
      </c>
    </row>
    <row r="42" spans="1:1" x14ac:dyDescent="0.2">
      <c r="A42" s="250" t="s">
        <v>192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 xml:space="preserve"> </v>
      </c>
    </row>
    <row r="2" spans="1:148" x14ac:dyDescent="0.2">
      <c r="A2" s="264" t="s">
        <v>204</v>
      </c>
      <c r="B2" s="98" t="str">
        <f>INVESTMENT!B2</f>
        <v xml:space="preserve"> </v>
      </c>
    </row>
    <row r="3" spans="1:148" x14ac:dyDescent="0.2">
      <c r="A3" s="264" t="s">
        <v>157</v>
      </c>
      <c r="B3" s="98" t="str">
        <f>INVESTMENT!B3</f>
        <v>MARCH29_DEV</v>
      </c>
      <c r="W3" s="285"/>
      <c r="Y3" s="284" t="s">
        <v>93</v>
      </c>
    </row>
    <row r="4" spans="1:148" x14ac:dyDescent="0.2">
      <c r="A4" s="264" t="s">
        <v>2</v>
      </c>
      <c r="B4" s="264" t="s">
        <v>201</v>
      </c>
      <c r="W4" s="285"/>
      <c r="Y4" s="284" t="s">
        <v>94</v>
      </c>
    </row>
    <row r="5" spans="1:148" x14ac:dyDescent="0.2">
      <c r="A5" s="264" t="s">
        <v>3</v>
      </c>
      <c r="B5" s="98" t="s">
        <v>202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261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 xml:space="preserve"> </v>
      </c>
      <c r="C1" s="137"/>
      <c r="D1" s="137"/>
    </row>
    <row r="2" spans="1:148" x14ac:dyDescent="0.2">
      <c r="A2" s="126" t="s">
        <v>157</v>
      </c>
      <c r="B2" s="138" t="str">
        <f>BID!B2</f>
        <v>MARCH29_DEV</v>
      </c>
      <c r="C2" s="137"/>
      <c r="D2" s="137"/>
      <c r="W2" s="382"/>
      <c r="Y2" s="96" t="s">
        <v>93</v>
      </c>
    </row>
    <row r="3" spans="1:148" x14ac:dyDescent="0.2">
      <c r="A3" s="126" t="s">
        <v>253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43435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43466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252</v>
      </c>
      <c r="C13" s="393" t="s">
        <v>91</v>
      </c>
      <c r="D13" s="393" t="s">
        <v>250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43435</v>
      </c>
      <c r="F14" s="402">
        <f>IF(BID!F14="","",BID!F14)</f>
        <v>43466</v>
      </c>
      <c r="G14" s="403">
        <f>IF(BID!G14="","",BID!G14)</f>
        <v>1</v>
      </c>
      <c r="H14" s="404">
        <f>IF(BID!H14="","",BID!H14)</f>
        <v>22</v>
      </c>
      <c r="I14" s="404">
        <f>IF(BID!I14="","",BID!I14)</f>
        <v>176</v>
      </c>
      <c r="J14" s="404">
        <f>IF(BID!J14="","",BID!J14)</f>
        <v>330</v>
      </c>
      <c r="K14" s="405">
        <f>IF(BID!K14="","",BID!K14)</f>
        <v>58080</v>
      </c>
      <c r="L14" s="217">
        <f>IF(BID!L14="","",BID!L14)</f>
        <v>162</v>
      </c>
      <c r="M14" s="405">
        <f>IF(BID!M14="","",BID!M14)</f>
        <v>28512</v>
      </c>
      <c r="N14" s="405">
        <f>IF(BID!N14="","",BID!N14)</f>
        <v>29568</v>
      </c>
      <c r="O14" s="217">
        <f>IF(BID!O14="","",BID!O14)</f>
        <v>300</v>
      </c>
      <c r="P14" s="405">
        <f>IF(BID!P14="","",BID!P14)</f>
        <v>52800</v>
      </c>
      <c r="Q14" s="405">
        <f>IF(BID!Q14="","",BID!Q14)</f>
        <v>24288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43435</v>
      </c>
      <c r="F15" s="402">
        <f>IF(BID!F15="","",BID!F15)</f>
        <v>43466</v>
      </c>
      <c r="G15" s="403">
        <f>IF(BID!G15="","",BID!G15)</f>
        <v>1</v>
      </c>
      <c r="H15" s="404">
        <f>IF(BID!H15="","",BID!H15)</f>
        <v>44</v>
      </c>
      <c r="I15" s="404">
        <f>IF(BID!I15="","",BID!I15)</f>
        <v>352</v>
      </c>
      <c r="J15" s="404">
        <f>IF(BID!J15="","",BID!J15)</f>
        <v>305</v>
      </c>
      <c r="K15" s="405">
        <f>IF(BID!K15="","",BID!K15)</f>
        <v>107360</v>
      </c>
      <c r="L15" s="217">
        <f>IF(BID!L15="","",BID!L15)</f>
        <v>114</v>
      </c>
      <c r="M15" s="405">
        <f>IF(BID!M15="","",BID!M15)</f>
        <v>40128</v>
      </c>
      <c r="N15" s="405">
        <f>IF(BID!N15="","",BID!N15)</f>
        <v>67232</v>
      </c>
      <c r="O15" s="217">
        <f>IF(BID!O15="","",BID!O15)</f>
        <v>300</v>
      </c>
      <c r="P15" s="405">
        <f>IF(BID!P15="","",BID!P15)</f>
        <v>105600</v>
      </c>
      <c r="Q15" s="405">
        <f>IF(BID!Q15="","",BID!Q15)</f>
        <v>65472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>PDA</v>
      </c>
      <c r="B16" s="190" t="str">
        <f>IF(BID!B16="","",BID!B16)</f>
        <v/>
      </c>
      <c r="C16" s="137"/>
      <c r="D16" s="401">
        <f>IF(BID!D16="","",BID!D16)</f>
        <v>2</v>
      </c>
      <c r="E16" s="402">
        <f>IF(BID!E16="","",BID!E16)</f>
        <v>43435</v>
      </c>
      <c r="F16" s="402">
        <f>IF(BID!F16="","",BID!F16)</f>
        <v>43466</v>
      </c>
      <c r="G16" s="403">
        <f>IF(BID!G16="","",BID!G16)</f>
        <v>1</v>
      </c>
      <c r="H16" s="404">
        <f>IF(BID!H16="","",BID!H16)</f>
        <v>44</v>
      </c>
      <c r="I16" s="404">
        <f>IF(BID!I16="","",BID!I16)</f>
        <v>352</v>
      </c>
      <c r="J16" s="404">
        <f>IF(BID!J16="","",BID!J16)</f>
        <v>310</v>
      </c>
      <c r="K16" s="405">
        <f>IF(BID!K16="","",BID!K16)</f>
        <v>109120</v>
      </c>
      <c r="L16" s="217">
        <f>IF(BID!L16="","",BID!L16)</f>
        <v>168</v>
      </c>
      <c r="M16" s="405">
        <f>IF(BID!M16="","",BID!M16)</f>
        <v>59136</v>
      </c>
      <c r="N16" s="405">
        <f>IF(BID!N16="","",BID!N16)</f>
        <v>49984</v>
      </c>
      <c r="O16" s="217">
        <f>IF(BID!O16="","",BID!O16)</f>
        <v>300</v>
      </c>
      <c r="P16" s="405">
        <f>IF(BID!P16="","",BID!P16)</f>
        <v>105600</v>
      </c>
      <c r="Q16" s="405">
        <f>IF(BID!Q16="","",BID!Q16)</f>
        <v>46464</v>
      </c>
      <c r="R16" s="406">
        <f>IF(BID!R16="","",BID!R16)</f>
        <v>0.44</v>
      </c>
      <c r="S16" s="407">
        <f>IF(BID!S16="","",BID!S16)</f>
        <v>3.2258064516129004E-2</v>
      </c>
      <c r="T16" s="408">
        <f>IF(ISBLANK(A16),"",VLOOKUP(A16,gsrates!$A$3:$AL$38,38,FALSE))</f>
        <v>0</v>
      </c>
      <c r="V16" s="381">
        <f t="shared" si="1"/>
        <v>0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110</v>
      </c>
      <c r="I32" s="412">
        <f>SUM(I14:I31)</f>
        <v>880</v>
      </c>
      <c r="J32" s="33"/>
      <c r="K32" s="413">
        <f>SUM(K14:K31)</f>
        <v>274560</v>
      </c>
      <c r="L32" s="215"/>
      <c r="M32" s="215">
        <f>SUM(M14:M31)</f>
        <v>127776</v>
      </c>
      <c r="N32" s="413">
        <f>SUM(N14:N31)</f>
        <v>146784</v>
      </c>
      <c r="P32" s="215">
        <f>SUM(P14:P31)</f>
        <v>264000</v>
      </c>
      <c r="Q32" s="413">
        <f>SUM(Q14:Q31)</f>
        <v>136224</v>
      </c>
      <c r="R32" s="414">
        <f>IF(H32=0,"",Q32/P32)</f>
        <v>0.51600000000000001</v>
      </c>
      <c r="S32" s="51">
        <f>IF(H32=0,"",1-P32/K32)</f>
        <v>3.8461538461538436E-2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34320</v>
      </c>
      <c r="L45" s="215"/>
      <c r="M45" s="421">
        <f>BID!M45</f>
        <v>15972</v>
      </c>
      <c r="N45" s="421">
        <f>BID!N45</f>
        <v>18348</v>
      </c>
      <c r="P45" s="421">
        <f>BID!P45</f>
        <v>33000</v>
      </c>
      <c r="Q45" s="421">
        <f>BID!Q45</f>
        <v>17028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110</v>
      </c>
      <c r="I48" s="422">
        <f>BID!I48</f>
        <v>880</v>
      </c>
      <c r="J48" s="33"/>
      <c r="K48" s="421">
        <f>BID!K48</f>
        <v>308880</v>
      </c>
      <c r="L48" s="215"/>
      <c r="M48" s="421">
        <f>BID!M48</f>
        <v>143748</v>
      </c>
      <c r="N48" s="421">
        <f>BID!N48</f>
        <v>165132</v>
      </c>
      <c r="P48" s="421">
        <f>BID!P48</f>
        <v>297000</v>
      </c>
      <c r="Q48" s="421">
        <f>BID!Q48</f>
        <v>153252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110</v>
      </c>
      <c r="I59" s="412">
        <f>I48+I56</f>
        <v>880</v>
      </c>
      <c r="J59" s="33"/>
      <c r="K59" s="413">
        <f>K48</f>
        <v>308880</v>
      </c>
      <c r="L59" s="215"/>
      <c r="M59" s="215">
        <f>M48+M58</f>
        <v>143748</v>
      </c>
      <c r="N59" s="413">
        <f>N48</f>
        <v>165132</v>
      </c>
      <c r="P59" s="215">
        <f>P48+P58</f>
        <v>297000</v>
      </c>
      <c r="Q59" s="413">
        <f>Q48</f>
        <v>153252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297000</v>
      </c>
      <c r="Q61" s="67">
        <f>P61-M59</f>
        <v>153252</v>
      </c>
      <c r="R61" s="414">
        <f>BID!R59</f>
        <v>0.51600000000000001</v>
      </c>
      <c r="S61" s="414">
        <f>BID!S59</f>
        <v>3.8461538461538436E-2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104.5</v>
      </c>
      <c r="I63" s="412">
        <f>I59*(1-$G$8)</f>
        <v>836</v>
      </c>
      <c r="J63" s="33"/>
      <c r="K63" s="413">
        <f>K59*(1-$G$8)</f>
        <v>293436</v>
      </c>
      <c r="L63" s="215"/>
      <c r="M63" s="215">
        <f>M59*(1-$G$8)</f>
        <v>136560.6</v>
      </c>
      <c r="N63" s="413">
        <f>N59*(1-$G$8)</f>
        <v>156875.4</v>
      </c>
      <c r="O63" s="386"/>
      <c r="P63" s="215">
        <f>P59*(1-$G$8)</f>
        <v>282150</v>
      </c>
      <c r="Q63" s="413">
        <f>Q59*(1-$G$8)</f>
        <v>145589.4</v>
      </c>
      <c r="R63" s="414">
        <f>IF(ISBLANK(A63),"",IF(P63&gt;0,Q63/P63,0))</f>
        <v>0.51600000000000001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132</v>
      </c>
      <c r="I64" s="412">
        <f>I59*(1+$G$9)</f>
        <v>1056</v>
      </c>
      <c r="J64" s="33"/>
      <c r="K64" s="413">
        <f>K59*(1+$G$9)</f>
        <v>370656</v>
      </c>
      <c r="L64" s="215"/>
      <c r="M64" s="215">
        <f>M59*(1+$G$9)</f>
        <v>172497.6</v>
      </c>
      <c r="N64" s="413">
        <f>N59*(1+$G$9)</f>
        <v>198158.4</v>
      </c>
      <c r="O64" s="386"/>
      <c r="P64" s="215">
        <f>P59*(1+$G$9)</f>
        <v>356400</v>
      </c>
      <c r="Q64" s="413">
        <f>Q59*(1+$G$9)</f>
        <v>183902.4</v>
      </c>
      <c r="R64" s="414">
        <f>IF(ISBLANK(A64),"",IF(P64&gt;0,Q64/P64,0))</f>
        <v>0.51600000000000001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257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D24" sqref="D24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 xml:space="preserve"> 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MARCH29_DEV</v>
      </c>
      <c r="C2" s="137"/>
      <c r="D2" s="137"/>
      <c r="W2" s="42"/>
      <c r="Y2" s="41" t="s">
        <v>93</v>
      </c>
    </row>
    <row r="3" spans="1:148" x14ac:dyDescent="0.2">
      <c r="A3" s="2" t="s">
        <v>253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43435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157">
        <v>43466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252</v>
      </c>
      <c r="C13" s="12" t="s">
        <v>91</v>
      </c>
      <c r="D13" s="12" t="s">
        <v>250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206</v>
      </c>
      <c r="B14" s="156" t="s">
        <v>265</v>
      </c>
      <c r="C14" s="86"/>
      <c r="D14" s="372">
        <v>1</v>
      </c>
      <c r="E14" s="157">
        <v>43435</v>
      </c>
      <c r="F14" s="157">
        <v>43466</v>
      </c>
      <c r="G14" s="158">
        <v>1</v>
      </c>
      <c r="H14" s="159">
        <f>IF(D14&gt;0,IF(ISBLANK(A14),"",(NETWORKDAYS(E14,F14)*G14)*D14),"")</f>
        <v>22</v>
      </c>
      <c r="I14" s="160">
        <f t="shared" ref="I14:I31" si="0">IF(ISBLANK(A14),"",H14*$B$9)</f>
        <v>176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58080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28512</v>
      </c>
      <c r="N14" s="79">
        <f t="shared" ref="N14:N31" si="3">IF(ISBLANK(A14),"",K14-M14)</f>
        <v>29568</v>
      </c>
      <c r="O14" s="173">
        <v>300</v>
      </c>
      <c r="P14" s="203">
        <f t="shared" ref="P14:P31" si="4">IF(ISBLANK(A14),"",H14*O14*$B$9)</f>
        <v>52800</v>
      </c>
      <c r="Q14" s="79">
        <f t="shared" ref="Q14:Q31" si="5">IF(ISBLANK(A14),"",P14-M14)</f>
        <v>24288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210</v>
      </c>
      <c r="B15" s="156" t="s">
        <v>266</v>
      </c>
      <c r="C15" s="86"/>
      <c r="D15" s="372">
        <v>2</v>
      </c>
      <c r="E15" s="157">
        <v>43435</v>
      </c>
      <c r="F15" s="157">
        <v>43466</v>
      </c>
      <c r="G15" s="158">
        <v>1</v>
      </c>
      <c r="H15" s="159">
        <f>IF(D15&gt;0,(IF(ISBLANK(A15),"",NETWORKDAYS(E15,F15)*G15)*D15),"")</f>
        <v>44</v>
      </c>
      <c r="I15" s="160">
        <f t="shared" si="0"/>
        <v>352</v>
      </c>
      <c r="J15" s="172">
        <f>IF(ISBLANK(A15),"",VLOOKUP(A15,gsrates!$A$3:$AK$38,VLOOKUP($B$5,gsrates!$A$41:$C$58,2,FALSE),FALSE))</f>
        <v>305</v>
      </c>
      <c r="K15" s="79">
        <f t="shared" si="1"/>
        <v>107360</v>
      </c>
      <c r="L15" s="203">
        <f>IF(ISBLANK(A15),"",VLOOKUP(A15,gsrates!$A$3:$AK$38,VLOOKUP($B$5,gsrates!$A$41:$C$58,3,FALSE),FALSE))</f>
        <v>114</v>
      </c>
      <c r="M15" s="203">
        <f t="shared" si="2"/>
        <v>40128</v>
      </c>
      <c r="N15" s="79">
        <f t="shared" si="3"/>
        <v>67232</v>
      </c>
      <c r="O15" s="173">
        <v>300</v>
      </c>
      <c r="P15" s="203">
        <f t="shared" si="4"/>
        <v>105600</v>
      </c>
      <c r="Q15" s="79">
        <f t="shared" si="5"/>
        <v>65472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 t="s">
        <v>209</v>
      </c>
      <c r="B16" s="156"/>
      <c r="C16" s="86"/>
      <c r="D16" s="372">
        <v>2</v>
      </c>
      <c r="E16" s="157">
        <v>43435</v>
      </c>
      <c r="F16" s="157">
        <v>43466</v>
      </c>
      <c r="G16" s="158">
        <v>1</v>
      </c>
      <c r="H16" s="159">
        <f t="shared" ref="H16:H30" si="10">IF(D16&gt;0,(IF(ISBLANK(A16),"",NETWORKDAYS(E16,F16)*G16)*D16),"")</f>
        <v>44</v>
      </c>
      <c r="I16" s="160">
        <f t="shared" si="0"/>
        <v>352</v>
      </c>
      <c r="J16" s="172">
        <f>IF(ISBLANK(A16),"",VLOOKUP(A16,gsrates!$A$3:$AK$38,VLOOKUP($B$5,gsrates!$A$41:$C$58,2,FALSE),FALSE))</f>
        <v>310</v>
      </c>
      <c r="K16" s="79">
        <f t="shared" si="1"/>
        <v>109120</v>
      </c>
      <c r="L16" s="203">
        <f>IF(ISBLANK(A16),"",VLOOKUP(A16,gsrates!$A$3:$AK$38,VLOOKUP($B$5,gsrates!$A$41:$C$58,3,FALSE),FALSE))</f>
        <v>168</v>
      </c>
      <c r="M16" s="203">
        <f t="shared" si="2"/>
        <v>59136</v>
      </c>
      <c r="N16" s="79">
        <f t="shared" si="3"/>
        <v>49984</v>
      </c>
      <c r="O16" s="173">
        <v>300</v>
      </c>
      <c r="P16" s="203">
        <f t="shared" si="4"/>
        <v>105600</v>
      </c>
      <c r="Q16" s="79">
        <f t="shared" si="5"/>
        <v>46464</v>
      </c>
      <c r="R16" s="151">
        <f t="shared" si="6"/>
        <v>0.44</v>
      </c>
      <c r="S16" s="162">
        <f t="shared" si="7"/>
        <v>3.2258064516129004E-2</v>
      </c>
      <c r="T16" s="360">
        <f>IF(ISBLANK(A16),"",VLOOKUP(A16,gsrates!$A$3:$AL$38,38,FALSE))</f>
        <v>0</v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110</v>
      </c>
      <c r="I32" s="9">
        <f>SUM(I14:I31)</f>
        <v>880</v>
      </c>
      <c r="J32" s="31"/>
      <c r="K32" s="36">
        <f>SUM(K14:K31)</f>
        <v>274560</v>
      </c>
      <c r="L32" s="205"/>
      <c r="M32" s="205">
        <f>SUM(M14:M31)</f>
        <v>127776</v>
      </c>
      <c r="N32" s="36">
        <f>SUM(N14:N31)</f>
        <v>146784</v>
      </c>
      <c r="O32" s="33"/>
      <c r="P32" s="205">
        <f>SUM(P14:P31)</f>
        <v>264000</v>
      </c>
      <c r="Q32" s="36">
        <f>SUM(Q14:Q31)</f>
        <v>136224</v>
      </c>
      <c r="R32" s="15">
        <f>IF(H32=0,"",Q32/P32)</f>
        <v>0.51600000000000001</v>
      </c>
      <c r="S32" s="8">
        <f>IF(H32=0,"",1-P32/K32)</f>
        <v>3.8461538461538436E-2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34320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15972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18348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33000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17028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110</v>
      </c>
      <c r="I48" s="448">
        <f>IF(ISBLANK($B$6),0,H48*$B$9)</f>
        <v>880</v>
      </c>
      <c r="J48" s="33"/>
      <c r="K48" s="17">
        <f>K32+K43+K45+K46+K47</f>
        <v>308880</v>
      </c>
      <c r="L48" s="205"/>
      <c r="M48" s="17">
        <f>M32+M43+M45+M46+M47</f>
        <v>143748</v>
      </c>
      <c r="N48" s="17">
        <f>N32+N43+N45+N47+N58+N46</f>
        <v>165132</v>
      </c>
      <c r="P48" s="17">
        <f>P32+P43+P45+P46+P47</f>
        <v>297000</v>
      </c>
      <c r="Q48" s="17">
        <f>Q32+Q43+Q45+Q47+Q58+Q46</f>
        <v>153252</v>
      </c>
      <c r="R48" s="15">
        <f>IF(ISBLANK(A48),"",IF(P48&gt;0,Q48/P48,0))</f>
        <v>0.51600000000000001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110</v>
      </c>
      <c r="I59" s="9">
        <f>I48+I56</f>
        <v>880</v>
      </c>
      <c r="J59" s="31"/>
      <c r="K59" s="36">
        <f>K48</f>
        <v>308880</v>
      </c>
      <c r="L59" s="205"/>
      <c r="M59" s="205">
        <f>M48+M58</f>
        <v>143748</v>
      </c>
      <c r="N59" s="36">
        <f>N48</f>
        <v>165132</v>
      </c>
      <c r="O59" s="33"/>
      <c r="P59" s="205">
        <f>P48+P58</f>
        <v>297000</v>
      </c>
      <c r="Q59" s="36">
        <f>Q48</f>
        <v>153252</v>
      </c>
      <c r="R59" s="15">
        <f>IF(ISBLANK(A59),"",IF(P59&gt;0,Q59/P59,0))</f>
        <v>0.51600000000000001</v>
      </c>
      <c r="S59" s="8">
        <f>IF(ISBLANK(A59),"",IF(K59&gt;0,1-P59/K59,1))</f>
        <v>3.8461538461538436E-2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297000</v>
      </c>
      <c r="Q61" s="43">
        <f>P61-M59</f>
        <v>153252</v>
      </c>
      <c r="R61" s="44">
        <f>IF(ISBLANK(A61),"",IF(P61&gt;0,Q61/P61,0))</f>
        <v>0.51600000000000001</v>
      </c>
      <c r="S61" s="45">
        <f>IF(ISBLANK(A61),"",IF(K59&gt;0,1-P61/K59,1))</f>
        <v>3.8461538461538436E-2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104.5</v>
      </c>
      <c r="I63" s="9">
        <f>I59*(1-$G$8)</f>
        <v>836</v>
      </c>
      <c r="J63" s="31"/>
      <c r="K63" s="36">
        <f>K59*(1-$G$8)</f>
        <v>293436</v>
      </c>
      <c r="L63" s="205"/>
      <c r="M63" s="205">
        <f>M59*(1-$G$8)</f>
        <v>136560.6</v>
      </c>
      <c r="N63" s="36">
        <f>N59*(1-$G$8)</f>
        <v>156875.4</v>
      </c>
      <c r="O63" s="49"/>
      <c r="P63" s="205">
        <f>P59*(1-$G$8)</f>
        <v>282150</v>
      </c>
      <c r="Q63" s="36">
        <f>Q59*(1-$G$8)</f>
        <v>145589.4</v>
      </c>
      <c r="R63" s="15">
        <f>IF(ISBLANK(A63),"",IF(P63&gt;0,Q63/P63,0))</f>
        <v>0.51600000000000001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132</v>
      </c>
      <c r="I64" s="9">
        <f>I59*(1+$G$9)</f>
        <v>1056</v>
      </c>
      <c r="J64" s="31"/>
      <c r="K64" s="36">
        <f>K59*(1+$G$9)</f>
        <v>370656</v>
      </c>
      <c r="L64" s="205"/>
      <c r="M64" s="205">
        <f>M59*(1+$G$9)</f>
        <v>172497.6</v>
      </c>
      <c r="N64" s="36">
        <f>N59*(1+$G$9)</f>
        <v>198158.4</v>
      </c>
      <c r="O64" s="49"/>
      <c r="P64" s="205">
        <f>P59*(1+$G$9)</f>
        <v>356400</v>
      </c>
      <c r="Q64" s="36">
        <f>Q59*(1+$G$9)</f>
        <v>183902.4</v>
      </c>
      <c r="R64" s="15">
        <f>IF(ISBLANK(A64),"",IF(P64&gt;0,Q64/P64,0))</f>
        <v>0.51600000000000001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254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255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256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7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 xml:space="preserve"> </v>
      </c>
      <c r="C1" s="137"/>
    </row>
    <row r="2" spans="1:147" x14ac:dyDescent="0.2">
      <c r="A2" s="2" t="s">
        <v>157</v>
      </c>
      <c r="B2" s="135" t="str">
        <f>IF(ISBLANK(Summary!B3)," ",Summary!B3)</f>
        <v>MARCH29_DEV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200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206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207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208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209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210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211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212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213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214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215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216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217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218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219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220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221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222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223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224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225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226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227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228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229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231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232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233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235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236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237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238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239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240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241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195</v>
      </c>
      <c r="O1" s="464"/>
      <c r="P1" s="467" t="s">
        <v>147</v>
      </c>
      <c r="Q1" s="467"/>
      <c r="R1" s="462" t="s">
        <v>148</v>
      </c>
      <c r="S1" s="462"/>
      <c r="T1" s="459" t="s">
        <v>197</v>
      </c>
      <c r="U1" s="460"/>
      <c r="V1" s="461" t="s">
        <v>196</v>
      </c>
      <c r="W1" s="462"/>
      <c r="X1" s="463" t="s">
        <v>151</v>
      </c>
      <c r="Y1" s="464"/>
      <c r="Z1" s="463" t="s">
        <v>244</v>
      </c>
      <c r="AA1" s="464"/>
      <c r="AB1" s="459" t="s">
        <v>176</v>
      </c>
      <c r="AC1" s="460"/>
      <c r="AD1" s="461" t="s">
        <v>194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206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207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208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209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210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211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212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213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214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215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216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217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218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219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220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221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222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223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224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225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226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227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228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229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230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231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232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233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234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235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236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237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238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239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240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241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195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198</v>
      </c>
      <c r="B50" s="235">
        <v>20</v>
      </c>
      <c r="C50" s="235">
        <v>21</v>
      </c>
    </row>
    <row r="51" spans="1:3" x14ac:dyDescent="0.2">
      <c r="A51" s="192" t="s">
        <v>199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244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205</v>
      </c>
      <c r="B59" s="223">
        <v>38</v>
      </c>
      <c r="C59" s="223">
        <v>38</v>
      </c>
    </row>
    <row r="60" spans="1:3" x14ac:dyDescent="0.2">
      <c r="B60" s="223" t="s">
        <v>242</v>
      </c>
    </row>
    <row r="61" spans="1:3" x14ac:dyDescent="0.2">
      <c r="A61" s="96" t="s">
        <v>206</v>
      </c>
      <c r="B61" s="223" t="s">
        <v>245</v>
      </c>
    </row>
    <row r="62" spans="1:3" x14ac:dyDescent="0.2">
      <c r="A62" s="96" t="s">
        <v>207</v>
      </c>
      <c r="B62" s="223" t="s">
        <v>245</v>
      </c>
    </row>
    <row r="63" spans="1:3" x14ac:dyDescent="0.2">
      <c r="A63" s="96" t="s">
        <v>208</v>
      </c>
      <c r="B63" s="223" t="s">
        <v>243</v>
      </c>
    </row>
    <row r="64" spans="1:3" x14ac:dyDescent="0.2">
      <c r="A64" s="96" t="s">
        <v>209</v>
      </c>
      <c r="B64" s="223" t="s">
        <v>243</v>
      </c>
    </row>
    <row r="65" spans="1:2" x14ac:dyDescent="0.2">
      <c r="A65" s="96" t="s">
        <v>210</v>
      </c>
      <c r="B65" s="223" t="s">
        <v>243</v>
      </c>
    </row>
    <row r="66" spans="1:2" x14ac:dyDescent="0.2">
      <c r="A66" s="96" t="s">
        <v>211</v>
      </c>
      <c r="B66" s="223" t="s">
        <v>243</v>
      </c>
    </row>
    <row r="67" spans="1:2" x14ac:dyDescent="0.2">
      <c r="A67" s="96" t="s">
        <v>212</v>
      </c>
      <c r="B67" s="223" t="s">
        <v>243</v>
      </c>
    </row>
    <row r="68" spans="1:2" x14ac:dyDescent="0.2">
      <c r="A68" s="96" t="s">
        <v>213</v>
      </c>
      <c r="B68" s="223" t="s">
        <v>243</v>
      </c>
    </row>
    <row r="69" spans="1:2" x14ac:dyDescent="0.2">
      <c r="A69" s="96" t="s">
        <v>214</v>
      </c>
      <c r="B69" s="223" t="s">
        <v>243</v>
      </c>
    </row>
    <row r="70" spans="1:2" x14ac:dyDescent="0.2">
      <c r="A70" s="96" t="s">
        <v>215</v>
      </c>
      <c r="B70" s="223" t="s">
        <v>243</v>
      </c>
    </row>
    <row r="71" spans="1:2" x14ac:dyDescent="0.2">
      <c r="A71" s="96" t="s">
        <v>216</v>
      </c>
      <c r="B71" s="223" t="s">
        <v>243</v>
      </c>
    </row>
    <row r="72" spans="1:2" x14ac:dyDescent="0.2">
      <c r="A72" s="190" t="s">
        <v>217</v>
      </c>
      <c r="B72" s="223" t="s">
        <v>243</v>
      </c>
    </row>
    <row r="73" spans="1:2" x14ac:dyDescent="0.2">
      <c r="A73" s="190" t="s">
        <v>218</v>
      </c>
      <c r="B73" s="223" t="s">
        <v>243</v>
      </c>
    </row>
    <row r="74" spans="1:2" x14ac:dyDescent="0.2">
      <c r="A74" s="190" t="s">
        <v>219</v>
      </c>
      <c r="B74" s="223" t="s">
        <v>243</v>
      </c>
    </row>
    <row r="75" spans="1:2" x14ac:dyDescent="0.2">
      <c r="A75" s="190" t="s">
        <v>220</v>
      </c>
      <c r="B75" s="223" t="s">
        <v>243</v>
      </c>
    </row>
    <row r="76" spans="1:2" x14ac:dyDescent="0.2">
      <c r="A76" s="190" t="s">
        <v>221</v>
      </c>
      <c r="B76" s="223" t="s">
        <v>243</v>
      </c>
    </row>
    <row r="77" spans="1:2" x14ac:dyDescent="0.2">
      <c r="A77" s="190" t="s">
        <v>222</v>
      </c>
      <c r="B77" s="223" t="s">
        <v>246</v>
      </c>
    </row>
    <row r="78" spans="1:2" x14ac:dyDescent="0.2">
      <c r="A78" s="190" t="s">
        <v>223</v>
      </c>
      <c r="B78" s="223" t="s">
        <v>246</v>
      </c>
    </row>
    <row r="79" spans="1:2" x14ac:dyDescent="0.2">
      <c r="A79" s="96" t="s">
        <v>224</v>
      </c>
      <c r="B79" s="223" t="s">
        <v>246</v>
      </c>
    </row>
    <row r="80" spans="1:2" x14ac:dyDescent="0.2">
      <c r="A80" s="96" t="s">
        <v>225</v>
      </c>
      <c r="B80" s="223" t="s">
        <v>246</v>
      </c>
    </row>
    <row r="81" spans="1:2" x14ac:dyDescent="0.2">
      <c r="A81" s="96" t="s">
        <v>226</v>
      </c>
      <c r="B81" s="223" t="s">
        <v>246</v>
      </c>
    </row>
    <row r="82" spans="1:2" x14ac:dyDescent="0.2">
      <c r="A82" s="96" t="s">
        <v>227</v>
      </c>
      <c r="B82" s="223" t="s">
        <v>247</v>
      </c>
    </row>
    <row r="83" spans="1:2" x14ac:dyDescent="0.2">
      <c r="A83" s="96" t="s">
        <v>228</v>
      </c>
      <c r="B83" s="223" t="s">
        <v>247</v>
      </c>
    </row>
    <row r="84" spans="1:2" x14ac:dyDescent="0.2">
      <c r="A84" s="96" t="s">
        <v>229</v>
      </c>
      <c r="B84" s="223" t="s">
        <v>247</v>
      </c>
    </row>
    <row r="85" spans="1:2" x14ac:dyDescent="0.2">
      <c r="A85" s="96" t="s">
        <v>230</v>
      </c>
      <c r="B85" s="223" t="s">
        <v>247</v>
      </c>
    </row>
    <row r="86" spans="1:2" x14ac:dyDescent="0.2">
      <c r="A86" s="96" t="s">
        <v>231</v>
      </c>
      <c r="B86" s="223" t="s">
        <v>247</v>
      </c>
    </row>
    <row r="87" spans="1:2" x14ac:dyDescent="0.2">
      <c r="A87" s="96" t="s">
        <v>232</v>
      </c>
      <c r="B87" s="223" t="s">
        <v>247</v>
      </c>
    </row>
    <row r="88" spans="1:2" x14ac:dyDescent="0.2">
      <c r="A88" s="96" t="s">
        <v>233</v>
      </c>
      <c r="B88" s="223" t="s">
        <v>247</v>
      </c>
    </row>
    <row r="89" spans="1:2" x14ac:dyDescent="0.2">
      <c r="A89" s="96" t="s">
        <v>234</v>
      </c>
      <c r="B89" s="223" t="s">
        <v>247</v>
      </c>
    </row>
    <row r="90" spans="1:2" x14ac:dyDescent="0.2">
      <c r="A90" s="96" t="s">
        <v>235</v>
      </c>
      <c r="B90" s="223" t="s">
        <v>248</v>
      </c>
    </row>
    <row r="91" spans="1:2" x14ac:dyDescent="0.2">
      <c r="A91" s="96" t="s">
        <v>236</v>
      </c>
      <c r="B91" s="223" t="s">
        <v>248</v>
      </c>
    </row>
    <row r="92" spans="1:2" x14ac:dyDescent="0.2">
      <c r="A92" s="96" t="s">
        <v>237</v>
      </c>
      <c r="B92" s="223" t="s">
        <v>248</v>
      </c>
    </row>
    <row r="93" spans="1:2" x14ac:dyDescent="0.2">
      <c r="A93" s="96" t="s">
        <v>238</v>
      </c>
      <c r="B93" s="223" t="s">
        <v>248</v>
      </c>
    </row>
    <row r="94" spans="1:2" x14ac:dyDescent="0.2">
      <c r="A94" s="96" t="s">
        <v>239</v>
      </c>
      <c r="B94" s="223" t="s">
        <v>248</v>
      </c>
    </row>
    <row r="95" spans="1:2" x14ac:dyDescent="0.2">
      <c r="A95" s="96" t="s">
        <v>240</v>
      </c>
      <c r="B95" s="223" t="s">
        <v>248</v>
      </c>
    </row>
    <row r="96" spans="1:2" x14ac:dyDescent="0.2">
      <c r="A96" s="96" t="s">
        <v>241</v>
      </c>
      <c r="B96" s="223" t="s">
        <v>248</v>
      </c>
    </row>
    <row r="100" spans="1:1" x14ac:dyDescent="0.2">
      <c r="A100" s="96" t="s">
        <v>206</v>
      </c>
    </row>
    <row r="101" spans="1:1" x14ac:dyDescent="0.2">
      <c r="A101" s="96" t="s">
        <v>207</v>
      </c>
    </row>
    <row r="102" spans="1:1" x14ac:dyDescent="0.2">
      <c r="A102" s="96" t="s">
        <v>208</v>
      </c>
    </row>
    <row r="103" spans="1:1" x14ac:dyDescent="0.2">
      <c r="A103" s="96" t="s">
        <v>209</v>
      </c>
    </row>
    <row r="104" spans="1:1" x14ac:dyDescent="0.2">
      <c r="A104" s="96" t="s">
        <v>210</v>
      </c>
    </row>
    <row r="105" spans="1:1" x14ac:dyDescent="0.2">
      <c r="A105" s="96" t="s">
        <v>211</v>
      </c>
    </row>
    <row r="106" spans="1:1" x14ac:dyDescent="0.2">
      <c r="A106" s="96" t="s">
        <v>212</v>
      </c>
    </row>
    <row r="107" spans="1:1" x14ac:dyDescent="0.2">
      <c r="A107" s="96" t="s">
        <v>213</v>
      </c>
    </row>
    <row r="108" spans="1:1" x14ac:dyDescent="0.2">
      <c r="A108" s="96" t="s">
        <v>214</v>
      </c>
    </row>
    <row r="109" spans="1:1" x14ac:dyDescent="0.2">
      <c r="A109" s="96" t="s">
        <v>215</v>
      </c>
    </row>
    <row r="110" spans="1:1" x14ac:dyDescent="0.2">
      <c r="A110" s="96" t="s">
        <v>216</v>
      </c>
    </row>
    <row r="111" spans="1:1" x14ac:dyDescent="0.2">
      <c r="A111" s="190" t="s">
        <v>217</v>
      </c>
    </row>
    <row r="112" spans="1:1" x14ac:dyDescent="0.2">
      <c r="A112" s="190" t="s">
        <v>218</v>
      </c>
    </row>
    <row r="113" spans="1:1" x14ac:dyDescent="0.2">
      <c r="A113" s="190" t="s">
        <v>219</v>
      </c>
    </row>
    <row r="114" spans="1:1" x14ac:dyDescent="0.2">
      <c r="A114" s="190" t="s">
        <v>220</v>
      </c>
    </row>
    <row r="115" spans="1:1" x14ac:dyDescent="0.2">
      <c r="A115" s="190" t="s">
        <v>221</v>
      </c>
    </row>
    <row r="116" spans="1:1" x14ac:dyDescent="0.2">
      <c r="A116" s="190" t="s">
        <v>222</v>
      </c>
    </row>
    <row r="117" spans="1:1" x14ac:dyDescent="0.2">
      <c r="A117" s="190" t="s">
        <v>223</v>
      </c>
    </row>
    <row r="118" spans="1:1" x14ac:dyDescent="0.2">
      <c r="A118" s="96" t="s">
        <v>224</v>
      </c>
    </row>
    <row r="119" spans="1:1" x14ac:dyDescent="0.2">
      <c r="A119" s="96" t="s">
        <v>225</v>
      </c>
    </row>
    <row r="120" spans="1:1" x14ac:dyDescent="0.2">
      <c r="A120" s="96" t="s">
        <v>226</v>
      </c>
    </row>
    <row r="121" spans="1:1" x14ac:dyDescent="0.2">
      <c r="A121" s="96" t="s">
        <v>227</v>
      </c>
    </row>
    <row r="122" spans="1:1" x14ac:dyDescent="0.2">
      <c r="A122" s="96" t="s">
        <v>228</v>
      </c>
    </row>
    <row r="123" spans="1:1" x14ac:dyDescent="0.2">
      <c r="A123" s="96" t="s">
        <v>229</v>
      </c>
    </row>
    <row r="124" spans="1:1" x14ac:dyDescent="0.2">
      <c r="A124" s="96" t="s">
        <v>230</v>
      </c>
    </row>
    <row r="125" spans="1:1" x14ac:dyDescent="0.2">
      <c r="A125" s="96" t="s">
        <v>231</v>
      </c>
    </row>
    <row r="126" spans="1:1" x14ac:dyDescent="0.2">
      <c r="A126" s="96" t="s">
        <v>232</v>
      </c>
    </row>
    <row r="127" spans="1:1" x14ac:dyDescent="0.2">
      <c r="A127" s="96" t="s">
        <v>233</v>
      </c>
    </row>
    <row r="128" spans="1:1" x14ac:dyDescent="0.2">
      <c r="A128" s="96" t="s">
        <v>234</v>
      </c>
    </row>
    <row r="129" spans="1:1" x14ac:dyDescent="0.2">
      <c r="A129" s="96" t="s">
        <v>235</v>
      </c>
    </row>
    <row r="130" spans="1:1" x14ac:dyDescent="0.2">
      <c r="A130" s="96" t="s">
        <v>236</v>
      </c>
    </row>
    <row r="131" spans="1:1" x14ac:dyDescent="0.2">
      <c r="A131" s="96" t="s">
        <v>237</v>
      </c>
    </row>
    <row r="132" spans="1:1" x14ac:dyDescent="0.2">
      <c r="A132" s="96" t="s">
        <v>238</v>
      </c>
    </row>
    <row r="133" spans="1:1" x14ac:dyDescent="0.2">
      <c r="A133" s="96" t="s">
        <v>239</v>
      </c>
    </row>
    <row r="134" spans="1:1" x14ac:dyDescent="0.2">
      <c r="A134" s="96" t="s">
        <v>240</v>
      </c>
    </row>
    <row r="135" spans="1:1" x14ac:dyDescent="0.2">
      <c r="A135" s="96" t="s">
        <v>241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5" sqref="B5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 xml:space="preserve"> </v>
      </c>
      <c r="C1" s="137"/>
      <c r="D1" s="137"/>
    </row>
    <row r="2" spans="1:148" x14ac:dyDescent="0.2">
      <c r="A2" s="2" t="s">
        <v>203</v>
      </c>
      <c r="B2" s="135" t="str">
        <f>IF(ISBLANK(Summary!B2)," ",Summary!B2)</f>
        <v xml:space="preserve"> 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MARCH29_DEV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202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252</v>
      </c>
      <c r="C14" s="12" t="s">
        <v>91</v>
      </c>
      <c r="D14" s="12" t="s">
        <v>250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206</v>
      </c>
      <c r="B15" s="156" t="s">
        <v>265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210</v>
      </c>
      <c r="B16" s="156" t="s">
        <v>267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183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345F13-1DBE-46D4-B0D7-304B49E202DD}">
  <ds:schemaRefs>
    <ds:schemaRef ds:uri="http://purl.org/dc/dcmitype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25c0f05f-b61a-491f-a19d-37e3a42ecd69"/>
    <ds:schemaRef ds:uri="http://schemas.microsoft.com/sharepoint/v3"/>
    <ds:schemaRef ds:uri="87fa94fe-5ad7-4dd5-a490-5e3f0ba4b54b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2018-03-29T04:25:54Z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