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js1\git\DAUIAutomation\Data Files\BSW\Investment\"/>
    </mc:Choice>
  </mc:AlternateContent>
  <bookViews>
    <workbookView xWindow="240" yWindow="45" windowWidth="14220" windowHeight="8580" tabRatio="881" activeTab="8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1027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8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8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8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8" l="1"/>
  <c r="V23" i="34"/>
  <c r="V22" i="34"/>
  <c r="V21" i="34"/>
  <c r="V20" i="34"/>
  <c r="V19" i="34"/>
  <c r="V18" i="34"/>
  <c r="V17" i="34"/>
  <c r="V16" i="34"/>
  <c r="V15" i="34"/>
  <c r="I16" i="38" l="1"/>
  <c r="P16" i="38"/>
  <c r="Q46" i="34"/>
  <c r="P46" i="34"/>
  <c r="N46" i="34"/>
  <c r="M46" i="34"/>
  <c r="K46" i="34"/>
  <c r="H46" i="34"/>
  <c r="I46" i="34" s="1"/>
  <c r="Q16" i="38" l="1"/>
  <c r="R16" i="38"/>
  <c r="K16" i="38"/>
  <c r="N16" i="38"/>
  <c r="S16" i="38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T19" i="40"/>
  <c r="V19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A25" i="40"/>
  <c r="A26" i="40"/>
  <c r="A27" i="40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8" i="40"/>
  <c r="V28" i="40" s="1"/>
  <c r="T27" i="40"/>
  <c r="V27" i="40" s="1"/>
  <c r="T26" i="40"/>
  <c r="V26" i="40" s="1"/>
  <c r="T25" i="40"/>
  <c r="V25" i="40" s="1"/>
  <c r="T24" i="40"/>
  <c r="V24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5" i="34"/>
  <c r="L15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5" i="34"/>
  <c r="J15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K15" i="34"/>
  <c r="K15" i="40" s="1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M15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5" i="34"/>
  <c r="N15" i="40" s="1"/>
  <c r="M15" i="40"/>
  <c r="N18" i="34"/>
  <c r="N18" i="40" s="1"/>
  <c r="Q18" i="34"/>
  <c r="S15" i="34"/>
  <c r="S15" i="40" s="1"/>
  <c r="Q15" i="34"/>
  <c r="O23" i="33"/>
  <c r="R16" i="34" l="1"/>
  <c r="R16" i="40" s="1"/>
  <c r="Q16" i="40"/>
  <c r="R15" i="34"/>
  <c r="R15" i="40" s="1"/>
  <c r="Q15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I15" i="39"/>
  <c r="I15" i="38" s="1"/>
  <c r="A64" i="39"/>
  <c r="E8" i="39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8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59" i="39" l="1"/>
  <c r="R59" i="38" s="1"/>
  <c r="R48" i="39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N43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Q43" i="40" l="1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H43" i="40"/>
  <c r="K43" i="40"/>
  <c r="S43" i="40" s="1"/>
  <c r="P43" i="40"/>
  <c r="R43" i="40" s="1"/>
  <c r="A63" i="34"/>
  <c r="B8" i="40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7" i="34" l="1"/>
  <c r="I47" i="34" s="1"/>
  <c r="H45" i="34"/>
  <c r="I45" i="34" s="1"/>
  <c r="I45" i="40" s="1"/>
  <c r="M14" i="34"/>
  <c r="M14" i="40" s="1"/>
  <c r="M32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M32" i="34"/>
  <c r="K14" i="34"/>
  <c r="I32" i="34"/>
  <c r="H45" i="40" s="1"/>
  <c r="R46" i="34"/>
  <c r="R48" i="40" s="1"/>
  <c r="S46" i="34"/>
  <c r="S48" i="40" s="1"/>
  <c r="P32" i="34"/>
  <c r="Q14" i="34" l="1"/>
  <c r="Q14" i="40" s="1"/>
  <c r="Q32" i="40" s="1"/>
  <c r="R32" i="40" s="1"/>
  <c r="P47" i="34"/>
  <c r="P47" i="40" s="1"/>
  <c r="P45" i="34"/>
  <c r="P45" i="40" s="1"/>
  <c r="M47" i="34"/>
  <c r="M47" i="40" s="1"/>
  <c r="M45" i="34"/>
  <c r="M45" i="40" s="1"/>
  <c r="S14" i="34"/>
  <c r="S14" i="40" s="1"/>
  <c r="K14" i="40"/>
  <c r="K32" i="40" s="1"/>
  <c r="S32" i="40" s="1"/>
  <c r="H48" i="34"/>
  <c r="I48" i="34" s="1"/>
  <c r="K32" i="34"/>
  <c r="N14" i="34"/>
  <c r="N14" i="40" s="1"/>
  <c r="N32" i="40" s="1"/>
  <c r="G26" i="33"/>
  <c r="H26" i="33" s="1"/>
  <c r="R26" i="33" s="1"/>
  <c r="R14" i="34" l="1"/>
  <c r="R14" i="40" s="1"/>
  <c r="Q32" i="34"/>
  <c r="Q47" i="34" s="1"/>
  <c r="Q47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5" i="34" l="1"/>
  <c r="Q45" i="40" s="1"/>
  <c r="R32" i="34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P61" i="34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R48" i="34"/>
  <c r="H5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Q63" i="40" l="1"/>
  <c r="Q59" i="34"/>
  <c r="Q63" i="34" s="1"/>
  <c r="R63" i="34" s="1"/>
  <c r="S61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<sst xmlns="http://schemas.openxmlformats.org/spreadsheetml/2006/main" count="940" uniqueCount="271">
  <si>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</si>
  <si>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</si>
  <si>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</si>
  <si>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</si>
  <si>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</si>
  <si>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</si>
  <si>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</si>
  <si>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</si>
  <si>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</si>
  <si>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</si>
  <si>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</si>
  <si>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</si>
  <si>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</si>
  <si>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</si>
  <si>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</si>
  <si>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</si>
  <si>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</si>
  <si>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</si>
  <si>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</si>
  <si>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</si>
  <si>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</si>
  <si>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</si>
  <si>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</si>
  <si>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</si>
  <si>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</si>
  <si>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</si>
  <si>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</si>
  <si>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</si>
  <si>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</si>
  <si>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</si>
  <si>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</si>
  <si>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</si>
  <si>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</si>
  <si>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</si>
  <si>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</si>
  <si>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</si>
  <si>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</si>
  <si>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</si>
  <si>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</si>
  <si>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</si>
  <si>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</si>
  <si>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</si>
  <si>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</si>
  <si>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</si>
  <si>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</si>
  <si>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</si>
  <si>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</si>
  <si>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</si>
  <si>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</si>
  <si>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</si>
  <si>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</si>
  <si>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</si>
  <si>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</si>
  <si>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</si>
  <si>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</si>
  <si>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</si>
  <si>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</si>
  <si>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</si>
  <si>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</si>
  <si>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</si>
  <si>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</si>
  <si>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</si>
  <si>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</si>
  <si>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</si>
  <si>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</si>
  <si>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</si>
  <si>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</si>
  <si>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</si>
  <si>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</si>
  <si>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</si>
  <si>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</si>
  <si>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</si>
  <si>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</si>
  <si>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</si>
  <si>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</si>
  <si>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</si>
  <si>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</si>
  <si>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</si>
  <si>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</si>
  <si>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</si>
  <si>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</si>
  <si>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</si>
  <si>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</si>
  <si>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</si>
  <si>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</si>
  <si>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</si>
  <si>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</si>
  <si>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</si>
  <si>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</si>
  <si>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</si>
  <si>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</si>
  <si>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</si>
  <si>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</si>
  <si>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</si>
  <si>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</si>
  <si>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</si>
  <si>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</si>
  <si>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</si>
  <si>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</si>
  <si>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</si>
  <si>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</si>
  <si>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</si>
  <si>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</si>
  <si>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</si>
  <si>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</si>
  <si>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</si>
  <si>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</si>
  <si>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</si>
  <si>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</si>
  <si>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</si>
  <si>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</si>
  <si>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</si>
  <si>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</si>
  <si>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</si>
  <si>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</si>
  <si>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</si>
  <si>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</si>
  <si>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</si>
  <si>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</si>
  <si>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</si>
  <si>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</si>
  <si>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</si>
  <si>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</si>
  <si>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</si>
  <si>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</si>
  <si>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</si>
  <si>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</si>
  <si>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</si>
  <si>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</si>
  <si>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</si>
  <si>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</si>
  <si>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</si>
  <si>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</si>
  <si>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</si>
  <si>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</si>
  <si>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</si>
  <si>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</si>
  <si>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</si>
  <si>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</si>
  <si>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</si>
  <si>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</si>
  <si>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</si>
  <si>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</si>
  <si>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</si>
  <si>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</si>
  <si>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</si>
  <si>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</si>
  <si>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</si>
  <si>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</si>
  <si>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</si>
  <si>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</si>
  <si>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</si>
  <si>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</si>
  <si>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</si>
  <si>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</si>
  <si>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</si>
  <si>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</si>
  <si>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</si>
  <si>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</si>
  <si>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</si>
  <si>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</si>
  <si>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</si>
  <si>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</si>
  <si>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</si>
  <si>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</si>
  <si>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</si>
  <si>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</si>
  <si>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</si>
  <si>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</si>
  <si>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</si>
  <si>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</si>
  <si>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</si>
  <si>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</si>
  <si>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</si>
  <si>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</si>
  <si>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</si>
  <si>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</si>
  <si>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</si>
  <si>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</si>
  <si>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</si>
  <si>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</si>
  <si>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</si>
  <si>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</si>
  <si>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</si>
  <si>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</si>
  <si>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</si>
  <si>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</si>
  <si>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</si>
  <si>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</si>
  <si>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</si>
  <si>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</si>
  <si>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</si>
  <si>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</si>
  <si>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</si>
  <si>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</si>
  <si>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</si>
  <si>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</si>
  <si>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</si>
  <si>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</si>
  <si>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</si>
  <si>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</si>
  <si>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</si>
  <si>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</si>
  <si>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</si>
  <si>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</si>
  <si>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</si>
  <si>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</si>
  <si>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</si>
  <si>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</si>
  <si>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</si>
  <si>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</si>
  <si>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</si>
  <si>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</si>
  <si>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</si>
  <si>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</si>
  <si>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</si>
  <si>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</si>
  <si>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</si>
  <si>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</si>
  <si>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</si>
  <si>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</si>
  <si>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</si>
  <si>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</si>
  <si>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</si>
  <si>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</si>
  <si>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</si>
  <si>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</si>
  <si>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</si>
  <si>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</si>
  <si>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</si>
  <si>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</si>
  <si>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</si>
  <si>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</si>
  <si>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</si>
  <si>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</si>
  <si>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</si>
  <si>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</si>
  <si>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</si>
  <si>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</si>
  <si>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</si>
  <si>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</si>
  <si>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</si>
  <si>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</si>
  <si>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</si>
  <si>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</si>
  <si>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</si>
  <si>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</si>
  <si>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</si>
  <si>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</si>
  <si>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</si>
  <si>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</si>
  <si>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</si>
  <si>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</si>
  <si>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</si>
  <si>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</si>
  <si>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</si>
  <si>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</si>
  <si>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</si>
  <si>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</si>
  <si>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</si>
  <si>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</si>
  <si>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</si>
  <si>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</si>
  <si>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</si>
  <si>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</si>
  <si>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Quote</t>
  </si>
  <si>
    <t>WATERFALL</t>
  </si>
  <si>
    <t>PEGA</t>
  </si>
  <si>
    <t>Full Implementation</t>
  </si>
  <si>
    <t>15/4/2019</t>
  </si>
  <si>
    <t>3-6_eng2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</si>
</sst>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9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  <font>
      <sz val="11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4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8" fillId="0" borderId="0" xfId="0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workbookViewId="0">
      <selection activeCell="E11" sqref="E11"/>
    </sheetView>
  </sheetViews>
  <sheetFormatPr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ht="14.25" x14ac:dyDescent="0.2">
      <c r="A3" s="2" t="s">
        <v>157</v>
      </c>
      <c r="B3" s="455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43498</v>
      </c>
      <c r="W7" s="42"/>
    </row>
    <row r="8" spans="1:23" x14ac:dyDescent="0.2">
      <c r="A8" s="2" t="s">
        <v>5</v>
      </c>
      <c r="B8" s="84">
        <v>43500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265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267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268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266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6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v>200000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2001.6000000000001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197998.4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0.98999199999999998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9">
        <f>BID!V32</f>
        <v>0</v>
      </c>
      <c r="B21" s="370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12.8</v>
      </c>
      <c r="C24" s="79">
        <v>20000</v>
      </c>
      <c r="D24" s="79">
        <f>BID!P47+BID!P46</f>
        <v>0</v>
      </c>
      <c r="E24" s="79">
        <f>BID!P45</f>
        <v>800</v>
      </c>
      <c r="F24" s="79"/>
      <c r="G24" s="112">
        <f>BID!P61</f>
        <v>7200</v>
      </c>
      <c r="H24" s="79">
        <f>BID!K59</f>
        <v>4392</v>
      </c>
      <c r="I24" s="79">
        <f>BID!M59</f>
        <v>2001.6000000000001</v>
      </c>
      <c r="J24" s="79">
        <f>G24-I24</f>
        <v>5198.3999999999996</v>
      </c>
      <c r="K24" s="151">
        <f>IF(G24&gt;0,J24/G24,0)</f>
        <v>0.72199999999999998</v>
      </c>
      <c r="L24" s="195">
        <f>IF(B24&gt;0,G24/B24,0)</f>
        <v>562.5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12.8</v>
      </c>
      <c r="C27" s="80">
        <f>SUM(C24:C26)</f>
        <v>20000</v>
      </c>
      <c r="D27" s="80">
        <f>SUM(D24:D26)</f>
        <v>0</v>
      </c>
      <c r="E27" s="80">
        <f>SUM(E24:E26)</f>
        <v>800</v>
      </c>
      <c r="F27" s="80"/>
      <c r="G27" s="114">
        <f>SUM(G24:G26)</f>
        <v>7200</v>
      </c>
      <c r="H27" s="80">
        <f>SUM(H24:H26)</f>
        <v>4392</v>
      </c>
      <c r="I27" s="80">
        <f>SUM(I24:I26)</f>
        <v>2001.6000000000001</v>
      </c>
      <c r="J27" s="81">
        <f>G27-I27</f>
        <v>5198.3999999999996</v>
      </c>
      <c r="K27" s="154">
        <f>IF(G27&gt;0,J27/G27,0)</f>
        <v>0.72199999999999998</v>
      </c>
      <c r="L27" s="196">
        <f>IF(B27&gt;0,G27/B27,0)</f>
        <v>562.5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3-6_eng2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43498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43500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1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EL</v>
      </c>
      <c r="B15" s="303" t="str">
        <f>IF(INVESTMENT!B15="","",INVESTMENT!B15)</f>
        <v/>
      </c>
      <c r="C15" s="303"/>
      <c r="D15" s="303">
        <f>IF(INVESTMENT!D15="","",INVESTMENT!D15)</f>
        <v>1</v>
      </c>
      <c r="E15" s="304">
        <f>IF(INVESTMENT!E15="","",INVESTMENT!E15)</f>
        <v>43498</v>
      </c>
      <c r="F15" s="304">
        <f>IF(INVESTMENT!F15="","",INVESTMENT!F15)</f>
        <v>43500</v>
      </c>
      <c r="G15" s="452">
        <f>IF(INVESTMENT!G15="","",INVESTMENT!G15)</f>
        <v>0.7</v>
      </c>
      <c r="H15" s="305">
        <f>INVESTMENT!H15</f>
        <v>500</v>
      </c>
      <c r="I15" s="306">
        <f>INVESTMENT!I15</f>
        <v>4000</v>
      </c>
      <c r="J15" s="307">
        <f>INVESTMENT!J15</f>
        <v>305</v>
      </c>
      <c r="K15" s="308">
        <f>INVESTMENT!K15</f>
        <v>1220000</v>
      </c>
      <c r="L15" s="309">
        <f>INVESTMENT!L15</f>
        <v>139</v>
      </c>
      <c r="M15" s="309">
        <f>INVESTMENT!M15</f>
        <v>556000</v>
      </c>
      <c r="N15" s="308">
        <f>INVESTMENT!N15</f>
        <v>664000</v>
      </c>
      <c r="O15" s="307">
        <f>INVESTMENT!O15</f>
        <v>500</v>
      </c>
      <c r="P15" s="309">
        <f>INVESTMENT!P15</f>
        <v>120000</v>
      </c>
      <c r="Q15" s="308">
        <f>INVESTMENT!Q15</f>
        <v>-436000</v>
      </c>
      <c r="R15" s="310">
        <f>INVESTMENT!R15</f>
        <v>-3.6333333333333333</v>
      </c>
      <c r="S15" s="311">
        <f>INVESTMENT!S15</f>
        <v>0.90163934426229508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3" t="str">
        <f>IF(INVESTMENT!G16="","",INVESTMENT!G16)</f>
        <v/>
      </c>
      <c r="H16" s="315">
        <f>INVESTMENT!H16</f>
        <v>0</v>
      </c>
      <c r="I16" s="316">
        <f>INVESTMENT!I16</f>
        <v>0</v>
      </c>
      <c r="J16" s="272">
        <f>INVESTMENT!J16</f>
        <v>0</v>
      </c>
      <c r="K16" s="317">
        <f>INVESTMENT!K16</f>
        <v>0</v>
      </c>
      <c r="L16" s="273">
        <f>INVESTMENT!L16</f>
        <v>0</v>
      </c>
      <c r="M16" s="273">
        <f>INVESTMENT!M16</f>
        <v>0</v>
      </c>
      <c r="N16" s="317">
        <f>INVESTMENT!N16</f>
        <v>0</v>
      </c>
      <c r="O16" s="272">
        <f>INVESTMENT!O16</f>
        <v>0</v>
      </c>
      <c r="P16" s="273">
        <f>INVESTMENT!P16</f>
        <v>0</v>
      </c>
      <c r="Q16" s="317">
        <f>INVESTMENT!Q16</f>
        <v>0</v>
      </c>
      <c r="R16" s="318">
        <f>INVESTMENT!R16</f>
        <v>0</v>
      </c>
      <c r="S16" s="314">
        <f>INVESTMENT!S16</f>
        <v>0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3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3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3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3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3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3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3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3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3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3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3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3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3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3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4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6" t="s">
        <v>11</v>
      </c>
      <c r="B32" s="456"/>
      <c r="C32" s="297"/>
      <c r="D32" s="451"/>
      <c r="E32" s="266"/>
      <c r="F32" s="266"/>
      <c r="G32" s="292"/>
      <c r="H32" s="330">
        <f>SUM(H15:H31)</f>
        <v>500</v>
      </c>
      <c r="I32" s="330">
        <f>SUM(I15:I31)</f>
        <v>4000</v>
      </c>
      <c r="J32" s="269"/>
      <c r="K32" s="331">
        <f>SUM(K15:K31)</f>
        <v>1220000</v>
      </c>
      <c r="L32" s="332"/>
      <c r="M32" s="332">
        <f>SUM(M15:M31)</f>
        <v>556000</v>
      </c>
      <c r="N32" s="331">
        <f>SUM(N15:N31)</f>
        <v>664000</v>
      </c>
      <c r="P32" s="332">
        <f>SUM(P15:P31)</f>
        <v>120000</v>
      </c>
      <c r="Q32" s="331">
        <f>SUM(Q15:Q31)</f>
        <v>-436000</v>
      </c>
      <c r="R32" s="333">
        <f>IF(H32=0,"",Q32/P32)</f>
        <v>-3.6333333333333333</v>
      </c>
      <c r="S32" s="292">
        <f>IF(H32=0,"",1-P32/K32)</f>
        <v>0.90163934426229508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500</v>
      </c>
      <c r="I48" s="342">
        <f>INVESTMENT!I48</f>
        <v>4000</v>
      </c>
      <c r="J48" s="269"/>
      <c r="K48" s="341">
        <f>INVESTMENT!K48</f>
        <v>1220000</v>
      </c>
      <c r="L48" s="332"/>
      <c r="M48" s="341">
        <f>M32+M43+M45+M46+M47</f>
        <v>556000</v>
      </c>
      <c r="N48" s="341">
        <f>N32+N43+N45+N47+N58+N46</f>
        <v>664000</v>
      </c>
      <c r="P48" s="341">
        <f>P32+P43+P45+P46+P47</f>
        <v>120000</v>
      </c>
      <c r="Q48" s="341">
        <f>Q32+Q43+Q45+Q47+Q58+Q46</f>
        <v>-436000</v>
      </c>
      <c r="R48" s="333">
        <f>IF(ISBLANK(A48),"",IF(P48&gt;0,Q48/P48,0))</f>
        <v>-3.6333333333333333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500</v>
      </c>
      <c r="I59" s="330">
        <f>I48+I56</f>
        <v>4000</v>
      </c>
      <c r="J59" s="269"/>
      <c r="K59" s="331">
        <f>K48</f>
        <v>1220000</v>
      </c>
      <c r="L59" s="332"/>
      <c r="M59" s="332">
        <f>M48+M58</f>
        <v>556000</v>
      </c>
      <c r="N59" s="331">
        <f>N48</f>
        <v>664000</v>
      </c>
      <c r="P59" s="332">
        <f>P48+P58</f>
        <v>120000</v>
      </c>
      <c r="Q59" s="331">
        <f>INVESTMENT!Q59</f>
        <v>-436000</v>
      </c>
      <c r="R59" s="333">
        <f>INVESTMENT!R59</f>
        <v>-3.6333333333333333</v>
      </c>
      <c r="S59" s="292">
        <f>INVESTMENT!S59</f>
        <v>0.90163934426229508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120000</v>
      </c>
      <c r="Q61" s="281">
        <f>INVESTMENT!Q61</f>
        <v>-436000</v>
      </c>
      <c r="R61" s="351">
        <f>INVESTMENT!R61</f>
        <v>-3.6333333333333333</v>
      </c>
      <c r="S61" s="352">
        <f>INVESTMENT!S61</f>
        <v>0.90163934426229508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475</v>
      </c>
      <c r="I63" s="330">
        <f>INVESTMENT!I63</f>
        <v>3800</v>
      </c>
      <c r="J63" s="269"/>
      <c r="K63" s="331">
        <f>INVESTMENT!K63</f>
        <v>1159000</v>
      </c>
      <c r="L63" s="332"/>
      <c r="M63" s="331">
        <f>INVESTMENT!M63</f>
        <v>528200</v>
      </c>
      <c r="N63" s="331">
        <f>INVESTMENT!N63</f>
        <v>630800</v>
      </c>
      <c r="O63" s="291"/>
      <c r="P63" s="332">
        <f>INVESTMENT!P63</f>
        <v>114000</v>
      </c>
      <c r="Q63" s="331">
        <f>INVESTMENT!Q63</f>
        <v>-414200</v>
      </c>
      <c r="R63" s="333">
        <f>INVESTMENT!R63</f>
        <v>-3.6333333333333333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600</v>
      </c>
      <c r="I64" s="330">
        <f>INVESTMENT!I64</f>
        <v>4800</v>
      </c>
      <c r="J64" s="269"/>
      <c r="K64" s="331">
        <f>INVESTMENT!K64</f>
        <v>1464000</v>
      </c>
      <c r="L64" s="332"/>
      <c r="M64" s="331">
        <f>INVESTMENT!M64</f>
        <v>667200</v>
      </c>
      <c r="N64" s="331">
        <f>INVESTMENT!N64</f>
        <v>796800</v>
      </c>
      <c r="O64" s="291"/>
      <c r="P64" s="332">
        <f>INVESTMENT!P64</f>
        <v>144000</v>
      </c>
      <c r="Q64" s="331">
        <f>INVESTMENT!Q64</f>
        <v>-523200</v>
      </c>
      <c r="R64" s="333">
        <f>INVESTMENT!R64</f>
        <v>-3.6333333333333333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9" customWidth="1"/>
    <col min="13" max="13" width="11.5" style="379" customWidth="1"/>
    <col min="14" max="14" width="11.5" style="126" customWidth="1"/>
    <col min="15" max="15" width="10.83203125" style="33" customWidth="1"/>
    <col min="16" max="16" width="14.1640625" style="379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80"/>
    <col min="21" max="21" width="9.33203125" style="381" hidden="1" customWidth="1"/>
    <col min="22" max="22" width="9.33203125" style="382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3-6_eng2</v>
      </c>
      <c r="C2" s="137"/>
      <c r="D2" s="137"/>
      <c r="W2" s="383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3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3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4" t="str">
        <f>IF(AND(P59&gt;0,P61=0),"Enter Total Price in N43"," ")</f>
        <v xml:space="preserve"> </v>
      </c>
      <c r="W5" s="383"/>
      <c r="Y5" s="96" t="s">
        <v>95</v>
      </c>
    </row>
    <row r="6" spans="1:148" x14ac:dyDescent="0.2">
      <c r="A6" s="126" t="s">
        <v>4</v>
      </c>
      <c r="B6" s="139">
        <f>BID!B6</f>
        <v>43498</v>
      </c>
      <c r="C6" s="139"/>
      <c r="D6" s="139"/>
      <c r="E6" s="385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6"/>
      <c r="M6" s="386"/>
      <c r="N6" s="29"/>
      <c r="O6" s="387"/>
      <c r="P6" s="386"/>
      <c r="W6" s="383"/>
      <c r="Y6" s="96" t="s">
        <v>96</v>
      </c>
    </row>
    <row r="7" spans="1:148" x14ac:dyDescent="0.2">
      <c r="A7" s="126" t="s">
        <v>5</v>
      </c>
      <c r="B7" s="139" t="str">
        <f>BID!B7</f>
        <v>15/4/2019</v>
      </c>
      <c r="C7" s="139"/>
      <c r="D7" s="139"/>
      <c r="E7" s="385" t="str">
        <f>IF(B7&gt;MAX(F14:F42),"Staffing ends before project end date!",IF(B7&lt;MAX(F14:F42),"Staffing continues after end date!",""))</f>
        <v>Staffing ends before project end date!</v>
      </c>
      <c r="F7" s="29"/>
      <c r="G7" s="29"/>
      <c r="H7" s="29"/>
      <c r="I7" s="148"/>
      <c r="J7" s="29"/>
      <c r="K7" s="29"/>
      <c r="L7" s="386"/>
      <c r="M7" s="386"/>
      <c r="N7" s="29"/>
      <c r="O7" s="387"/>
      <c r="P7" s="386"/>
      <c r="W7" s="383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8">
        <v>0.05</v>
      </c>
      <c r="W8" s="383"/>
      <c r="Y8" s="96" t="s">
        <v>145</v>
      </c>
    </row>
    <row r="9" spans="1:148" x14ac:dyDescent="0.2">
      <c r="A9" s="126" t="s">
        <v>79</v>
      </c>
      <c r="B9" s="402">
        <f>BID!B9</f>
        <v>8</v>
      </c>
      <c r="C9" s="140"/>
      <c r="D9" s="140"/>
      <c r="F9" s="126" t="s">
        <v>152</v>
      </c>
      <c r="G9" s="388">
        <v>0.2</v>
      </c>
      <c r="W9" s="383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9"/>
      <c r="Y11" s="96" t="s">
        <v>99</v>
      </c>
    </row>
    <row r="12" spans="1:148" x14ac:dyDescent="0.2">
      <c r="A12" s="389"/>
      <c r="B12" s="389"/>
      <c r="C12" s="389"/>
      <c r="D12" s="389"/>
      <c r="E12" s="57"/>
      <c r="F12" s="57"/>
      <c r="G12" s="57"/>
      <c r="H12" s="390"/>
      <c r="I12" s="391"/>
      <c r="J12" s="390"/>
      <c r="K12" s="390"/>
      <c r="L12" s="392"/>
      <c r="M12" s="392"/>
      <c r="N12" s="390"/>
      <c r="O12" s="393" t="s">
        <v>80</v>
      </c>
      <c r="P12" s="392"/>
      <c r="Q12" s="390"/>
      <c r="R12" s="390"/>
      <c r="S12" s="390"/>
      <c r="Y12" s="96" t="s">
        <v>100</v>
      </c>
    </row>
    <row r="13" spans="1:148" s="389" customFormat="1" x14ac:dyDescent="0.2">
      <c r="A13" s="394" t="s">
        <v>52</v>
      </c>
      <c r="B13" s="394" t="s">
        <v>255</v>
      </c>
      <c r="C13" s="394" t="s">
        <v>91</v>
      </c>
      <c r="D13" s="394" t="s">
        <v>253</v>
      </c>
      <c r="E13" s="395" t="s">
        <v>54</v>
      </c>
      <c r="F13" s="395" t="s">
        <v>55</v>
      </c>
      <c r="G13" s="395" t="s">
        <v>7</v>
      </c>
      <c r="H13" s="395" t="s">
        <v>20</v>
      </c>
      <c r="I13" s="396" t="s">
        <v>78</v>
      </c>
      <c r="J13" s="40" t="s">
        <v>10</v>
      </c>
      <c r="K13" s="395" t="s">
        <v>56</v>
      </c>
      <c r="L13" s="202" t="s">
        <v>57</v>
      </c>
      <c r="M13" s="397" t="s">
        <v>31</v>
      </c>
      <c r="N13" s="395" t="s">
        <v>21</v>
      </c>
      <c r="O13" s="40" t="s">
        <v>22</v>
      </c>
      <c r="P13" s="397" t="s">
        <v>58</v>
      </c>
      <c r="Q13" s="395" t="s">
        <v>32</v>
      </c>
      <c r="R13" s="395" t="s">
        <v>23</v>
      </c>
      <c r="S13" s="395" t="s">
        <v>24</v>
      </c>
      <c r="T13" s="398"/>
      <c r="U13" s="399"/>
      <c r="V13" s="400"/>
      <c r="W13" s="401"/>
      <c r="X13" s="401"/>
      <c r="Y13" s="96" t="s">
        <v>137</v>
      </c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AZ13" s="401"/>
      <c r="BA13" s="401"/>
      <c r="BB13" s="401"/>
      <c r="BC13" s="401"/>
      <c r="BD13" s="401"/>
      <c r="BE13" s="401"/>
      <c r="BF13" s="401"/>
      <c r="BG13" s="401"/>
      <c r="BH13" s="401"/>
      <c r="BI13" s="401"/>
      <c r="BJ13" s="401"/>
      <c r="BK13" s="401"/>
      <c r="BL13" s="401"/>
      <c r="BM13" s="401"/>
      <c r="BN13" s="401"/>
      <c r="BO13" s="401"/>
      <c r="BP13" s="401"/>
      <c r="BQ13" s="401"/>
      <c r="BR13" s="401"/>
      <c r="BS13" s="401"/>
      <c r="BT13" s="401"/>
      <c r="BU13" s="401"/>
      <c r="BV13" s="401"/>
      <c r="BW13" s="401"/>
      <c r="BX13" s="401"/>
      <c r="BY13" s="401"/>
      <c r="BZ13" s="401"/>
      <c r="CA13" s="401"/>
      <c r="CB13" s="401"/>
      <c r="CC13" s="401"/>
      <c r="CD13" s="401"/>
      <c r="CE13" s="401"/>
      <c r="CF13" s="401"/>
      <c r="CG13" s="401"/>
      <c r="CH13" s="401"/>
      <c r="CI13" s="401"/>
      <c r="CJ13" s="401"/>
      <c r="CK13" s="401"/>
      <c r="CL13" s="401"/>
      <c r="CM13" s="401"/>
      <c r="CN13" s="401"/>
      <c r="CO13" s="401"/>
      <c r="CP13" s="401"/>
      <c r="CQ13" s="401"/>
      <c r="CR13" s="401"/>
      <c r="CS13" s="401"/>
      <c r="CT13" s="401"/>
      <c r="CU13" s="401"/>
      <c r="CV13" s="401"/>
      <c r="CW13" s="401"/>
      <c r="CX13" s="401"/>
      <c r="CY13" s="401"/>
      <c r="CZ13" s="401"/>
      <c r="DA13" s="401"/>
      <c r="DB13" s="401"/>
      <c r="DC13" s="401"/>
      <c r="DD13" s="401"/>
      <c r="DE13" s="401"/>
      <c r="DF13" s="401"/>
      <c r="DG13" s="401"/>
      <c r="DH13" s="401"/>
      <c r="DI13" s="401"/>
      <c r="DJ13" s="401"/>
      <c r="DK13" s="401"/>
      <c r="DL13" s="401"/>
      <c r="DM13" s="401"/>
      <c r="DN13" s="401"/>
      <c r="DO13" s="401"/>
      <c r="DP13" s="401"/>
      <c r="DQ13" s="401"/>
      <c r="DR13" s="401"/>
      <c r="DS13" s="401"/>
      <c r="DT13" s="401"/>
      <c r="DU13" s="401"/>
      <c r="DV13" s="401"/>
      <c r="DW13" s="401"/>
      <c r="DX13" s="401"/>
      <c r="DY13" s="401"/>
      <c r="DZ13" s="401"/>
      <c r="EA13" s="401"/>
      <c r="EB13" s="401"/>
      <c r="EC13" s="401"/>
      <c r="ED13" s="401"/>
      <c r="EE13" s="401"/>
      <c r="EF13" s="401"/>
      <c r="EG13" s="401"/>
      <c r="EH13" s="401"/>
      <c r="EI13" s="401"/>
      <c r="EJ13" s="401"/>
      <c r="EK13" s="401"/>
      <c r="EL13" s="401"/>
      <c r="EM13" s="401"/>
      <c r="EN13" s="401"/>
      <c r="EO13" s="401"/>
      <c r="EP13" s="401"/>
      <c r="EQ13" s="401"/>
      <c r="ER13" s="401"/>
    </row>
    <row r="14" spans="1:148" outlineLevel="1" x14ac:dyDescent="0.2">
      <c r="A14" s="190" t="str">
        <f>IF(BID!A14="","",BID!A14)</f>
        <v>EL</v>
      </c>
      <c r="B14" s="190" t="str">
        <f>IF(BID!B14="","",BID!B14)</f>
        <v/>
      </c>
      <c r="C14" s="137"/>
      <c r="D14" s="402">
        <f>IF(BID!D14="","",BID!D14)</f>
        <v>2</v>
      </c>
      <c r="E14" s="403">
        <f>IF(BID!E14="","",BID!E14)</f>
        <v>43498</v>
      </c>
      <c r="F14" s="403">
        <f>IF(BID!F14="","",BID!F14)</f>
        <v>43500</v>
      </c>
      <c r="G14" s="404">
        <f>IF(BID!G14="","",BID!G14)</f>
        <v>0.8</v>
      </c>
      <c r="H14" s="405">
        <f>IF(BID!H14="","",BID!H14)</f>
        <v>1.6</v>
      </c>
      <c r="I14" s="405">
        <f>IF(BID!I14="","",BID!I14)</f>
        <v>12.8</v>
      </c>
      <c r="J14" s="405">
        <f>IF(BID!J14="","",BID!J14)</f>
        <v>305</v>
      </c>
      <c r="K14" s="406">
        <f>IF(BID!K14="","",BID!K14)</f>
        <v>3904</v>
      </c>
      <c r="L14" s="217">
        <f>IF(BID!L14="","",BID!L14)</f>
        <v>139</v>
      </c>
      <c r="M14" s="406">
        <f>IF(BID!M14="","",BID!M14)</f>
        <v>1779.2</v>
      </c>
      <c r="N14" s="406">
        <f>IF(BID!N14="","",BID!N14)</f>
        <v>2124.8000000000002</v>
      </c>
      <c r="O14" s="217">
        <f>IF(BID!O14="","",BID!O14)</f>
        <v>500</v>
      </c>
      <c r="P14" s="406">
        <f>IF(BID!P14="","",BID!P14)</f>
        <v>6400</v>
      </c>
      <c r="Q14" s="406">
        <f>IF(BID!Q14="","",BID!Q14)</f>
        <v>4620.8</v>
      </c>
      <c r="R14" s="407">
        <f>IF(BID!R14="","",BID!R14)</f>
        <v>0.72199999999999998</v>
      </c>
      <c r="S14" s="408">
        <f>IF(BID!S14="","",BID!S14)</f>
        <v>-0.63934426229508201</v>
      </c>
      <c r="T14" s="409">
        <f>IF(ISBLANK(A14),"",VLOOKUP(A14,gsrates!$A$3:$AL$38,38,FALSE))</f>
        <v>0</v>
      </c>
      <c r="U14" s="381" t="str">
        <f t="shared" ref="U14:U31" si="0">IF(ISBLANK(A14),"",CONCATENATE(C14,"-",$B$5))</f>
        <v>-NA</v>
      </c>
      <c r="V14" s="382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/>
      </c>
      <c r="B15" s="190" t="str">
        <f>IF(BID!B15="","",BID!B15)</f>
        <v/>
      </c>
      <c r="C15" s="137"/>
      <c r="D15" s="402" t="str">
        <f>IF(BID!D15="","",BID!D15)</f>
        <v/>
      </c>
      <c r="E15" s="403" t="str">
        <f>IF(BID!E15="","",BID!E15)</f>
        <v/>
      </c>
      <c r="F15" s="403" t="str">
        <f>IF(BID!F15="","",BID!F15)</f>
        <v/>
      </c>
      <c r="G15" s="404" t="str">
        <f>IF(BID!G15="","",BID!G15)</f>
        <v/>
      </c>
      <c r="H15" s="405" t="str">
        <f>IF(BID!H15="","",BID!H15)</f>
        <v/>
      </c>
      <c r="I15" s="405" t="str">
        <f>IF(BID!I15="","",BID!I15)</f>
        <v/>
      </c>
      <c r="J15" s="405" t="str">
        <f>IF(BID!J15="","",BID!J15)</f>
        <v/>
      </c>
      <c r="K15" s="406" t="str">
        <f>IF(BID!K15="","",BID!K15)</f>
        <v/>
      </c>
      <c r="L15" s="217" t="str">
        <f>IF(BID!L15="","",BID!L15)</f>
        <v/>
      </c>
      <c r="M15" s="406" t="str">
        <f>IF(BID!M15="","",BID!M15)</f>
        <v/>
      </c>
      <c r="N15" s="406" t="str">
        <f>IF(BID!N15="","",BID!N15)</f>
        <v/>
      </c>
      <c r="O15" s="217">
        <f>IF(BID!O15="","",BID!O15)</f>
        <v>0</v>
      </c>
      <c r="P15" s="406" t="str">
        <f>IF(BID!P15="","",BID!P15)</f>
        <v/>
      </c>
      <c r="Q15" s="406" t="str">
        <f>IF(BID!Q15="","",BID!Q15)</f>
        <v/>
      </c>
      <c r="R15" s="407" t="str">
        <f>IF(BID!R15="","",BID!R15)</f>
        <v/>
      </c>
      <c r="S15" s="408" t="str">
        <f>IF(BID!S15="","",BID!S15)</f>
        <v/>
      </c>
      <c r="T15" s="409" t="e">
        <f>IF(ISBLANK(A15),"",VLOOKUP(A15,gsrates!$A$3:$AL$38,38,FALSE))</f>
        <v>#N/A</v>
      </c>
      <c r="V15" s="382" t="e">
        <f t="shared" ref="V15:V22" si="1">IF(T15=1,I15,0)</f>
        <v>#N/A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2" t="str">
        <f>IF(BID!D16="","",BID!D16)</f>
        <v/>
      </c>
      <c r="E16" s="403" t="str">
        <f>IF(BID!E16="","",BID!E16)</f>
        <v/>
      </c>
      <c r="F16" s="403" t="str">
        <f>IF(BID!F16="","",BID!F16)</f>
        <v/>
      </c>
      <c r="G16" s="404" t="str">
        <f>IF(BID!G16="","",BID!G16)</f>
        <v/>
      </c>
      <c r="H16" s="405" t="str">
        <f>IF(BID!H16="","",BID!H16)</f>
        <v/>
      </c>
      <c r="I16" s="405" t="str">
        <f>IF(BID!I16="","",BID!I16)</f>
        <v/>
      </c>
      <c r="J16" s="405" t="str">
        <f>IF(BID!J16="","",BID!J16)</f>
        <v/>
      </c>
      <c r="K16" s="406" t="str">
        <f>IF(BID!K16="","",BID!K16)</f>
        <v/>
      </c>
      <c r="L16" s="217" t="str">
        <f>IF(BID!L16="","",BID!L16)</f>
        <v/>
      </c>
      <c r="M16" s="406" t="str">
        <f>IF(BID!M16="","",BID!M16)</f>
        <v/>
      </c>
      <c r="N16" s="406" t="str">
        <f>IF(BID!N16="","",BID!N16)</f>
        <v/>
      </c>
      <c r="O16" s="217">
        <f>IF(BID!O16="","",BID!O16)</f>
        <v>0</v>
      </c>
      <c r="P16" s="406" t="str">
        <f>IF(BID!P16="","",BID!P16)</f>
        <v/>
      </c>
      <c r="Q16" s="406" t="str">
        <f>IF(BID!Q16="","",BID!Q16)</f>
        <v/>
      </c>
      <c r="R16" s="407" t="str">
        <f>IF(BID!R16="","",BID!R16)</f>
        <v/>
      </c>
      <c r="S16" s="408" t="str">
        <f>IF(BID!S16="","",BID!S16)</f>
        <v/>
      </c>
      <c r="T16" s="409" t="e">
        <f>IF(ISBLANK(A16),"",VLOOKUP(A16,gsrates!$A$3:$AL$38,38,FALSE))</f>
        <v>#N/A</v>
      </c>
      <c r="V16" s="382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2" t="str">
        <f>IF(BID!D17="","",BID!D17)</f>
        <v/>
      </c>
      <c r="E17" s="403" t="str">
        <f>IF(BID!E17="","",BID!E17)</f>
        <v/>
      </c>
      <c r="F17" s="403" t="str">
        <f>IF(BID!F17="","",BID!F17)</f>
        <v/>
      </c>
      <c r="G17" s="404" t="str">
        <f>IF(BID!G17="","",BID!G17)</f>
        <v/>
      </c>
      <c r="H17" s="405" t="str">
        <f>IF(BID!H17="","",BID!H17)</f>
        <v/>
      </c>
      <c r="I17" s="405" t="str">
        <f>IF(BID!I17="","",BID!I17)</f>
        <v/>
      </c>
      <c r="J17" s="405" t="str">
        <f>IF(BID!J17="","",BID!J17)</f>
        <v/>
      </c>
      <c r="K17" s="406" t="str">
        <f>IF(BID!K17="","",BID!K17)</f>
        <v/>
      </c>
      <c r="L17" s="217" t="str">
        <f>IF(BID!L17="","",BID!L17)</f>
        <v/>
      </c>
      <c r="M17" s="406" t="str">
        <f>IF(BID!M17="","",BID!M17)</f>
        <v/>
      </c>
      <c r="N17" s="406" t="str">
        <f>IF(BID!N17="","",BID!N17)</f>
        <v/>
      </c>
      <c r="O17" s="217">
        <f>IF(BID!O17="","",BID!O17)</f>
        <v>0</v>
      </c>
      <c r="P17" s="406" t="str">
        <f>IF(BID!P17="","",BID!P17)</f>
        <v/>
      </c>
      <c r="Q17" s="406" t="str">
        <f>IF(BID!Q17="","",BID!Q17)</f>
        <v/>
      </c>
      <c r="R17" s="407" t="str">
        <f>IF(BID!R17="","",BID!R17)</f>
        <v/>
      </c>
      <c r="S17" s="408" t="str">
        <f>IF(BID!S17="","",BID!S17)</f>
        <v/>
      </c>
      <c r="T17" s="409" t="e">
        <f>IF(ISBLANK(A17),"",VLOOKUP(A17,gsrates!$A$3:$AL$38,38,FALSE))</f>
        <v>#N/A</v>
      </c>
      <c r="V17" s="382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2" t="str">
        <f>IF(BID!D18="","",BID!D18)</f>
        <v/>
      </c>
      <c r="E18" s="403" t="str">
        <f>IF(BID!E18="","",BID!E18)</f>
        <v/>
      </c>
      <c r="F18" s="403" t="str">
        <f>IF(BID!F18="","",BID!F18)</f>
        <v/>
      </c>
      <c r="G18" s="404" t="str">
        <f>IF(BID!G18="","",BID!G18)</f>
        <v/>
      </c>
      <c r="H18" s="405" t="str">
        <f>IF(BID!H18="","",BID!H18)</f>
        <v/>
      </c>
      <c r="I18" s="405" t="str">
        <f>IF(BID!I18="","",BID!I18)</f>
        <v/>
      </c>
      <c r="J18" s="405" t="str">
        <f>IF(BID!J18="","",BID!J18)</f>
        <v/>
      </c>
      <c r="K18" s="406" t="str">
        <f>IF(BID!K18="","",BID!K18)</f>
        <v/>
      </c>
      <c r="L18" s="217" t="str">
        <f>IF(BID!L18="","",BID!L18)</f>
        <v/>
      </c>
      <c r="M18" s="406" t="str">
        <f>IF(BID!M18="","",BID!M18)</f>
        <v/>
      </c>
      <c r="N18" s="406" t="str">
        <f>IF(BID!N18="","",BID!N18)</f>
        <v/>
      </c>
      <c r="O18" s="217">
        <f>IF(BID!O18="","",BID!O18)</f>
        <v>0</v>
      </c>
      <c r="P18" s="406" t="str">
        <f>IF(BID!P18="","",BID!P18)</f>
        <v/>
      </c>
      <c r="Q18" s="406" t="str">
        <f>IF(BID!Q18="","",BID!Q18)</f>
        <v/>
      </c>
      <c r="R18" s="407" t="str">
        <f>IF(BID!R18="","",BID!R18)</f>
        <v/>
      </c>
      <c r="S18" s="408" t="str">
        <f>IF(BID!S18="","",BID!S18)</f>
        <v/>
      </c>
      <c r="T18" s="409" t="e">
        <f>IF(ISBLANK(A18),"",VLOOKUP(A18,gsrates!$A$3:$AL$38,38,FALSE))</f>
        <v>#N/A</v>
      </c>
      <c r="V18" s="382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2" t="str">
        <f>IF(BID!D19="","",BID!D19)</f>
        <v/>
      </c>
      <c r="E19" s="403" t="str">
        <f>IF(BID!E19="","",BID!E19)</f>
        <v/>
      </c>
      <c r="F19" s="403" t="str">
        <f>IF(BID!F19="","",BID!F19)</f>
        <v/>
      </c>
      <c r="G19" s="404" t="str">
        <f>IF(BID!G19="","",BID!G19)</f>
        <v/>
      </c>
      <c r="H19" s="405" t="str">
        <f>IF(BID!H19="","",BID!H19)</f>
        <v/>
      </c>
      <c r="I19" s="405" t="str">
        <f>IF(BID!I19="","",BID!I19)</f>
        <v/>
      </c>
      <c r="J19" s="405" t="str">
        <f>IF(BID!J19="","",BID!J19)</f>
        <v/>
      </c>
      <c r="K19" s="406" t="str">
        <f>IF(BID!K19="","",BID!K19)</f>
        <v/>
      </c>
      <c r="L19" s="217" t="str">
        <f>IF(BID!L19="","",BID!L19)</f>
        <v/>
      </c>
      <c r="M19" s="406" t="str">
        <f>IF(BID!M19="","",BID!M19)</f>
        <v/>
      </c>
      <c r="N19" s="406" t="str">
        <f>IF(BID!N19="","",BID!N19)</f>
        <v/>
      </c>
      <c r="O19" s="217">
        <f>IF(BID!O19="","",BID!O19)</f>
        <v>0</v>
      </c>
      <c r="P19" s="406" t="str">
        <f>IF(BID!P19="","",BID!P19)</f>
        <v/>
      </c>
      <c r="Q19" s="406" t="str">
        <f>IF(BID!Q19="","",BID!Q19)</f>
        <v/>
      </c>
      <c r="R19" s="407" t="str">
        <f>IF(BID!R19="","",BID!R19)</f>
        <v/>
      </c>
      <c r="S19" s="408" t="str">
        <f>IF(BID!S19="","",BID!S19)</f>
        <v/>
      </c>
      <c r="T19" s="409" t="e">
        <f>IF(ISBLANK(A19),"",VLOOKUP(A19,gsrates!$A$3:$AL$38,38,FALSE))</f>
        <v>#N/A</v>
      </c>
      <c r="V19" s="382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2" t="str">
        <f>IF(BID!D20="","",BID!D20)</f>
        <v/>
      </c>
      <c r="E20" s="403" t="str">
        <f>IF(BID!E20="","",BID!E20)</f>
        <v/>
      </c>
      <c r="F20" s="403" t="str">
        <f>IF(BID!F20="","",BID!F20)</f>
        <v/>
      </c>
      <c r="G20" s="404" t="str">
        <f>IF(BID!G20="","",BID!G20)</f>
        <v/>
      </c>
      <c r="H20" s="405" t="str">
        <f>IF(BID!H20="","",BID!H20)</f>
        <v/>
      </c>
      <c r="I20" s="405" t="str">
        <f>IF(BID!I20="","",BID!I20)</f>
        <v/>
      </c>
      <c r="J20" s="405" t="str">
        <f>IF(BID!J20="","",BID!J20)</f>
        <v/>
      </c>
      <c r="K20" s="406" t="str">
        <f>IF(BID!K20="","",BID!K20)</f>
        <v/>
      </c>
      <c r="L20" s="217" t="str">
        <f>IF(BID!L20="","",BID!L20)</f>
        <v/>
      </c>
      <c r="M20" s="406" t="str">
        <f>IF(BID!M20="","",BID!M20)</f>
        <v/>
      </c>
      <c r="N20" s="406" t="str">
        <f>IF(BID!N20="","",BID!N20)</f>
        <v/>
      </c>
      <c r="O20" s="217">
        <f>IF(BID!O20="","",BID!O20)</f>
        <v>0</v>
      </c>
      <c r="P20" s="406" t="str">
        <f>IF(BID!P20="","",BID!P20)</f>
        <v/>
      </c>
      <c r="Q20" s="406" t="str">
        <f>IF(BID!Q20="","",BID!Q20)</f>
        <v/>
      </c>
      <c r="R20" s="407" t="str">
        <f>IF(BID!R20="","",BID!R20)</f>
        <v/>
      </c>
      <c r="S20" s="408" t="str">
        <f>IF(BID!S20="","",BID!S20)</f>
        <v/>
      </c>
      <c r="T20" s="409" t="e">
        <f>IF(ISBLANK(A20),"",VLOOKUP(A20,gsrates!$A$3:$AL$38,38,FALSE))</f>
        <v>#N/A</v>
      </c>
      <c r="V20" s="382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2" t="str">
        <f>IF(BID!D21="","",BID!D21)</f>
        <v/>
      </c>
      <c r="E21" s="403" t="str">
        <f>IF(BID!E21="","",BID!E21)</f>
        <v/>
      </c>
      <c r="F21" s="403" t="str">
        <f>IF(BID!F21="","",BID!F21)</f>
        <v/>
      </c>
      <c r="G21" s="404" t="str">
        <f>IF(BID!G21="","",BID!G21)</f>
        <v/>
      </c>
      <c r="H21" s="405" t="str">
        <f>IF(BID!H21="","",BID!H21)</f>
        <v/>
      </c>
      <c r="I21" s="405" t="str">
        <f>IF(BID!I21="","",BID!I21)</f>
        <v/>
      </c>
      <c r="J21" s="405" t="str">
        <f>IF(BID!J21="","",BID!J21)</f>
        <v/>
      </c>
      <c r="K21" s="406" t="str">
        <f>IF(BID!K21="","",BID!K21)</f>
        <v/>
      </c>
      <c r="L21" s="217" t="str">
        <f>IF(BID!L21="","",BID!L21)</f>
        <v/>
      </c>
      <c r="M21" s="406" t="str">
        <f>IF(BID!M21="","",BID!M21)</f>
        <v/>
      </c>
      <c r="N21" s="406" t="str">
        <f>IF(BID!N21="","",BID!N21)</f>
        <v/>
      </c>
      <c r="O21" s="217">
        <f>IF(BID!O21="","",BID!O21)</f>
        <v>0</v>
      </c>
      <c r="P21" s="406" t="str">
        <f>IF(BID!P21="","",BID!P21)</f>
        <v/>
      </c>
      <c r="Q21" s="406" t="str">
        <f>IF(BID!Q21="","",BID!Q21)</f>
        <v/>
      </c>
      <c r="R21" s="407" t="str">
        <f>IF(BID!R21="","",BID!R21)</f>
        <v/>
      </c>
      <c r="S21" s="408" t="str">
        <f>IF(BID!S21="","",BID!S21)</f>
        <v/>
      </c>
      <c r="T21" s="409" t="e">
        <f>IF(ISBLANK(A21),"",VLOOKUP(A21,gsrates!$A$3:$AL$38,38,FALSE))</f>
        <v>#N/A</v>
      </c>
      <c r="V21" s="382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2" t="str">
        <f>IF(BID!D22="","",BID!D22)</f>
        <v/>
      </c>
      <c r="E22" s="403" t="str">
        <f>IF(BID!E22="","",BID!E22)</f>
        <v/>
      </c>
      <c r="F22" s="403" t="str">
        <f>IF(BID!F22="","",BID!F22)</f>
        <v/>
      </c>
      <c r="G22" s="404" t="str">
        <f>IF(BID!G22="","",BID!G22)</f>
        <v/>
      </c>
      <c r="H22" s="405" t="str">
        <f>IF(BID!H22="","",BID!H22)</f>
        <v/>
      </c>
      <c r="I22" s="405" t="str">
        <f>IF(BID!I22="","",BID!I22)</f>
        <v/>
      </c>
      <c r="J22" s="405" t="str">
        <f>IF(BID!J22="","",BID!J22)</f>
        <v/>
      </c>
      <c r="K22" s="406" t="str">
        <f>IF(BID!K22="","",BID!K22)</f>
        <v/>
      </c>
      <c r="L22" s="217" t="str">
        <f>IF(BID!L22="","",BID!L22)</f>
        <v/>
      </c>
      <c r="M22" s="406" t="str">
        <f>IF(BID!M22="","",BID!M22)</f>
        <v/>
      </c>
      <c r="N22" s="406" t="str">
        <f>IF(BID!N22="","",BID!N22)</f>
        <v/>
      </c>
      <c r="O22" s="217">
        <f>IF(BID!O22="","",BID!O22)</f>
        <v>0</v>
      </c>
      <c r="P22" s="406" t="str">
        <f>IF(BID!P22="","",BID!P22)</f>
        <v/>
      </c>
      <c r="Q22" s="406" t="str">
        <f>IF(BID!Q22="","",BID!Q22)</f>
        <v/>
      </c>
      <c r="R22" s="407" t="str">
        <f>IF(BID!R22="","",BID!R22)</f>
        <v/>
      </c>
      <c r="S22" s="408" t="str">
        <f>IF(BID!S22="","",BID!S22)</f>
        <v/>
      </c>
      <c r="T22" s="409" t="e">
        <f>IF(ISBLANK(A22),"",VLOOKUP(A22,gsrates!$A$3:$AL$38,38,FALSE))</f>
        <v>#N/A</v>
      </c>
      <c r="V22" s="382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2" t="str">
        <f>IF(BID!D23="","",BID!D23)</f>
        <v/>
      </c>
      <c r="E23" s="403" t="str">
        <f>IF(BID!E23="","",BID!E23)</f>
        <v/>
      </c>
      <c r="F23" s="403" t="str">
        <f>IF(BID!F23="","",BID!F23)</f>
        <v/>
      </c>
      <c r="G23" s="404" t="str">
        <f>IF(BID!G23="","",BID!G23)</f>
        <v/>
      </c>
      <c r="H23" s="405" t="str">
        <f>IF(BID!H23="","",BID!H23)</f>
        <v/>
      </c>
      <c r="I23" s="405" t="str">
        <f>IF(BID!I23="","",BID!I23)</f>
        <v/>
      </c>
      <c r="J23" s="405" t="str">
        <f>IF(BID!J23="","",BID!J23)</f>
        <v/>
      </c>
      <c r="K23" s="406" t="str">
        <f>IF(BID!K23="","",BID!K23)</f>
        <v/>
      </c>
      <c r="L23" s="217" t="str">
        <f>IF(BID!L23="","",BID!L23)</f>
        <v/>
      </c>
      <c r="M23" s="406" t="str">
        <f>IF(BID!M23="","",BID!M23)</f>
        <v/>
      </c>
      <c r="N23" s="406" t="str">
        <f>IF(BID!N23="","",BID!N23)</f>
        <v/>
      </c>
      <c r="O23" s="217">
        <f>IF(BID!O23="","",BID!O23)</f>
        <v>0</v>
      </c>
      <c r="P23" s="406" t="str">
        <f>IF(BID!P23="","",BID!P23)</f>
        <v/>
      </c>
      <c r="Q23" s="406" t="str">
        <f>IF(BID!Q23="","",BID!Q23)</f>
        <v/>
      </c>
      <c r="R23" s="407" t="str">
        <f>IF(BID!R23="","",BID!R23)</f>
        <v/>
      </c>
      <c r="S23" s="408" t="str">
        <f>IF(BID!S23="","",BID!S23)</f>
        <v/>
      </c>
      <c r="T23" s="409" t="e">
        <f>IF(ISBLANK(A23),"",VLOOKUP(A23,gsrates!$A$3:$AL$38,38,FALSE))</f>
        <v>#N/A</v>
      </c>
      <c r="U23" s="381" t="str">
        <f t="shared" si="0"/>
        <v>-NA</v>
      </c>
      <c r="V23" s="382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2" t="str">
        <f>IF(BID!D24="","",BID!D24)</f>
        <v/>
      </c>
      <c r="E24" s="403" t="str">
        <f>IF(BID!E24="","",BID!E24)</f>
        <v/>
      </c>
      <c r="F24" s="403" t="str">
        <f>IF(BID!F24="","",BID!F24)</f>
        <v/>
      </c>
      <c r="G24" s="404" t="str">
        <f>IF(BID!G24="","",BID!G24)</f>
        <v/>
      </c>
      <c r="H24" s="405" t="str">
        <f>IF(BID!H24="","",BID!H24)</f>
        <v/>
      </c>
      <c r="I24" s="405" t="str">
        <f>IF(BID!I24="","",BID!I24)</f>
        <v/>
      </c>
      <c r="J24" s="405" t="str">
        <f>IF(BID!J24="","",BID!J24)</f>
        <v/>
      </c>
      <c r="K24" s="406" t="str">
        <f>IF(BID!K24="","",BID!K24)</f>
        <v/>
      </c>
      <c r="L24" s="217" t="str">
        <f>IF(BID!L24="","",BID!L24)</f>
        <v/>
      </c>
      <c r="M24" s="406" t="str">
        <f>IF(BID!M24="","",BID!M24)</f>
        <v/>
      </c>
      <c r="N24" s="406" t="str">
        <f>IF(BID!N24="","",BID!N24)</f>
        <v/>
      </c>
      <c r="O24" s="217">
        <f>IF(BID!O24="","",BID!O24)</f>
        <v>0</v>
      </c>
      <c r="P24" s="406" t="str">
        <f>IF(BID!P24="","",BID!P24)</f>
        <v/>
      </c>
      <c r="Q24" s="406" t="str">
        <f>IF(BID!Q24="","",BID!Q24)</f>
        <v/>
      </c>
      <c r="R24" s="407" t="str">
        <f>IF(BID!R24="","",BID!R24)</f>
        <v/>
      </c>
      <c r="S24" s="408" t="str">
        <f>IF(BID!S24="","",BID!S24)</f>
        <v/>
      </c>
      <c r="T24" s="409" t="e">
        <f>IF(ISBLANK(A24),"",VLOOKUP(A24,gsrates!$A$3:$AL$38,38,FALSE))</f>
        <v>#N/A</v>
      </c>
      <c r="U24" s="381" t="str">
        <f t="shared" si="0"/>
        <v>-NA</v>
      </c>
      <c r="V24" s="382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2" t="str">
        <f>IF(BID!D25="","",BID!D25)</f>
        <v/>
      </c>
      <c r="E25" s="403" t="str">
        <f>IF(BID!E25="","",BID!E25)</f>
        <v/>
      </c>
      <c r="F25" s="403" t="str">
        <f>IF(BID!F25="","",BID!F25)</f>
        <v/>
      </c>
      <c r="G25" s="404" t="str">
        <f>IF(BID!G25="","",BID!G25)</f>
        <v/>
      </c>
      <c r="H25" s="405" t="str">
        <f>IF(BID!H25="","",BID!H25)</f>
        <v/>
      </c>
      <c r="I25" s="405" t="str">
        <f>IF(BID!I25="","",BID!I25)</f>
        <v/>
      </c>
      <c r="J25" s="405" t="str">
        <f>IF(BID!J25="","",BID!J25)</f>
        <v/>
      </c>
      <c r="K25" s="406" t="str">
        <f>IF(BID!K25="","",BID!K25)</f>
        <v/>
      </c>
      <c r="L25" s="217" t="str">
        <f>IF(BID!L25="","",BID!L25)</f>
        <v/>
      </c>
      <c r="M25" s="406" t="str">
        <f>IF(BID!M25="","",BID!M25)</f>
        <v/>
      </c>
      <c r="N25" s="406" t="str">
        <f>IF(BID!N25="","",BID!N25)</f>
        <v/>
      </c>
      <c r="O25" s="217">
        <f>IF(BID!O25="","",BID!O25)</f>
        <v>0</v>
      </c>
      <c r="P25" s="406" t="str">
        <f>IF(BID!P25="","",BID!P25)</f>
        <v/>
      </c>
      <c r="Q25" s="406" t="str">
        <f>IF(BID!Q25="","",BID!Q25)</f>
        <v/>
      </c>
      <c r="R25" s="407" t="str">
        <f>IF(BID!R25="","",BID!R25)</f>
        <v/>
      </c>
      <c r="S25" s="408" t="str">
        <f>IF(BID!S25="","",BID!S25)</f>
        <v/>
      </c>
      <c r="T25" s="409" t="e">
        <f>IF(ISBLANK(A25),"",VLOOKUP(A25,gsrates!$A$3:$AL$38,38,FALSE))</f>
        <v>#N/A</v>
      </c>
      <c r="U25" s="381" t="str">
        <f t="shared" si="0"/>
        <v>-NA</v>
      </c>
      <c r="V25" s="382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2" t="str">
        <f>IF(BID!D26="","",BID!D26)</f>
        <v/>
      </c>
      <c r="E26" s="403" t="str">
        <f>IF(BID!E26="","",BID!E26)</f>
        <v/>
      </c>
      <c r="F26" s="403" t="str">
        <f>IF(BID!F26="","",BID!F26)</f>
        <v/>
      </c>
      <c r="G26" s="404" t="str">
        <f>IF(BID!G26="","",BID!G26)</f>
        <v/>
      </c>
      <c r="H26" s="405" t="str">
        <f>IF(BID!H26="","",BID!H26)</f>
        <v/>
      </c>
      <c r="I26" s="405" t="str">
        <f>IF(BID!I26="","",BID!I26)</f>
        <v/>
      </c>
      <c r="J26" s="405" t="str">
        <f>IF(BID!J26="","",BID!J26)</f>
        <v/>
      </c>
      <c r="K26" s="406" t="str">
        <f>IF(BID!K26="","",BID!K26)</f>
        <v/>
      </c>
      <c r="L26" s="217" t="str">
        <f>IF(BID!L26="","",BID!L26)</f>
        <v/>
      </c>
      <c r="M26" s="406" t="str">
        <f>IF(BID!M26="","",BID!M26)</f>
        <v/>
      </c>
      <c r="N26" s="406" t="str">
        <f>IF(BID!N26="","",BID!N26)</f>
        <v/>
      </c>
      <c r="O26" s="217">
        <f>IF(BID!O26="","",BID!O26)</f>
        <v>0</v>
      </c>
      <c r="P26" s="406" t="str">
        <f>IF(BID!P26="","",BID!P26)</f>
        <v/>
      </c>
      <c r="Q26" s="406" t="str">
        <f>IF(BID!Q26="","",BID!Q26)</f>
        <v/>
      </c>
      <c r="R26" s="407" t="str">
        <f>IF(BID!R26="","",BID!R26)</f>
        <v/>
      </c>
      <c r="S26" s="408" t="str">
        <f>IF(BID!S26="","",BID!S26)</f>
        <v/>
      </c>
      <c r="T26" s="409" t="e">
        <f>IF(ISBLANK(A26),"",VLOOKUP(A26,gsrates!$A$3:$AL$38,38,FALSE))</f>
        <v>#N/A</v>
      </c>
      <c r="U26" s="381" t="str">
        <f t="shared" si="0"/>
        <v>-NA</v>
      </c>
      <c r="V26" s="382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2" t="str">
        <f>IF(BID!D27="","",BID!D27)</f>
        <v/>
      </c>
      <c r="E27" s="403" t="str">
        <f>IF(BID!E27="","",BID!E27)</f>
        <v/>
      </c>
      <c r="F27" s="403" t="str">
        <f>IF(BID!F27="","",BID!F27)</f>
        <v/>
      </c>
      <c r="G27" s="404" t="str">
        <f>IF(BID!G27="","",BID!G27)</f>
        <v/>
      </c>
      <c r="H27" s="405" t="str">
        <f>IF(BID!H27="","",BID!H27)</f>
        <v/>
      </c>
      <c r="I27" s="405" t="str">
        <f>IF(BID!I27="","",BID!I27)</f>
        <v/>
      </c>
      <c r="J27" s="405" t="str">
        <f>IF(BID!J27="","",BID!J27)</f>
        <v/>
      </c>
      <c r="K27" s="406" t="str">
        <f>IF(BID!K27="","",BID!K27)</f>
        <v/>
      </c>
      <c r="L27" s="217" t="str">
        <f>IF(BID!L27="","",BID!L27)</f>
        <v/>
      </c>
      <c r="M27" s="406" t="str">
        <f>IF(BID!M27="","",BID!M27)</f>
        <v/>
      </c>
      <c r="N27" s="406" t="str">
        <f>IF(BID!N27="","",BID!N27)</f>
        <v/>
      </c>
      <c r="O27" s="217">
        <f>IF(BID!O27="","",BID!O27)</f>
        <v>0</v>
      </c>
      <c r="P27" s="406" t="str">
        <f>IF(BID!P27="","",BID!P27)</f>
        <v/>
      </c>
      <c r="Q27" s="406" t="str">
        <f>IF(BID!Q27="","",BID!Q27)</f>
        <v/>
      </c>
      <c r="R27" s="407" t="str">
        <f>IF(BID!R27="","",BID!R27)</f>
        <v/>
      </c>
      <c r="S27" s="408" t="str">
        <f>IF(BID!S27="","",BID!S27)</f>
        <v/>
      </c>
      <c r="T27" s="409" t="e">
        <f>IF(ISBLANK(A27),"",VLOOKUP(A27,gsrates!$A$3:$AL$38,38,FALSE))</f>
        <v>#N/A</v>
      </c>
      <c r="U27" s="381" t="str">
        <f t="shared" si="0"/>
        <v>-NA</v>
      </c>
      <c r="V27" s="382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2" t="str">
        <f>IF(BID!D28="","",BID!D28)</f>
        <v/>
      </c>
      <c r="E28" s="403" t="str">
        <f>IF(BID!E28="","",BID!E28)</f>
        <v/>
      </c>
      <c r="F28" s="403" t="str">
        <f>IF(BID!F28="","",BID!F28)</f>
        <v/>
      </c>
      <c r="G28" s="404" t="str">
        <f>IF(BID!G28="","",BID!G28)</f>
        <v/>
      </c>
      <c r="H28" s="405" t="str">
        <f>IF(BID!H28="","",BID!H28)</f>
        <v/>
      </c>
      <c r="I28" s="405" t="str">
        <f>IF(BID!I28="","",BID!I28)</f>
        <v/>
      </c>
      <c r="J28" s="405" t="str">
        <f>IF(BID!J28="","",BID!J28)</f>
        <v/>
      </c>
      <c r="K28" s="406" t="str">
        <f>IF(BID!K28="","",BID!K28)</f>
        <v/>
      </c>
      <c r="L28" s="217" t="str">
        <f>IF(BID!L28="","",BID!L28)</f>
        <v/>
      </c>
      <c r="M28" s="406" t="str">
        <f>IF(BID!M28="","",BID!M28)</f>
        <v/>
      </c>
      <c r="N28" s="406" t="str">
        <f>IF(BID!N28="","",BID!N28)</f>
        <v/>
      </c>
      <c r="O28" s="217">
        <f>IF(BID!O28="","",BID!O28)</f>
        <v>0</v>
      </c>
      <c r="P28" s="406" t="str">
        <f>IF(BID!P28="","",BID!P28)</f>
        <v/>
      </c>
      <c r="Q28" s="406" t="str">
        <f>IF(BID!Q28="","",BID!Q28)</f>
        <v/>
      </c>
      <c r="R28" s="407" t="str">
        <f>IF(BID!R28="","",BID!R28)</f>
        <v/>
      </c>
      <c r="S28" s="408" t="str">
        <f>IF(BID!S28="","",BID!S28)</f>
        <v/>
      </c>
      <c r="T28" s="409" t="e">
        <f>IF(ISBLANK(A28),"",VLOOKUP(A28,gsrates!$A$3:$AL$38,38,FALSE))</f>
        <v>#N/A</v>
      </c>
      <c r="U28" s="381" t="str">
        <f t="shared" si="0"/>
        <v>-NA</v>
      </c>
      <c r="V28" s="382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2" t="str">
        <f>IF(BID!D29="","",BID!D29)</f>
        <v/>
      </c>
      <c r="E29" s="403" t="str">
        <f>IF(BID!E29="","",BID!E29)</f>
        <v/>
      </c>
      <c r="F29" s="403" t="str">
        <f>IF(BID!F29="","",BID!F29)</f>
        <v/>
      </c>
      <c r="G29" s="404" t="str">
        <f>IF(BID!G29="","",BID!G29)</f>
        <v/>
      </c>
      <c r="H29" s="405" t="str">
        <f>IF(BID!H29="","",BID!H29)</f>
        <v/>
      </c>
      <c r="I29" s="405" t="str">
        <f>IF(BID!I29="","",BID!I29)</f>
        <v/>
      </c>
      <c r="J29" s="405" t="str">
        <f>IF(BID!J29="","",BID!J29)</f>
        <v/>
      </c>
      <c r="K29" s="406" t="str">
        <f>IF(BID!K29="","",BID!K29)</f>
        <v/>
      </c>
      <c r="L29" s="217" t="str">
        <f>IF(BID!L29="","",BID!L29)</f>
        <v/>
      </c>
      <c r="M29" s="406" t="str">
        <f>IF(BID!M29="","",BID!M29)</f>
        <v/>
      </c>
      <c r="N29" s="406" t="str">
        <f>IF(BID!N29="","",BID!N29)</f>
        <v/>
      </c>
      <c r="O29" s="217">
        <f>IF(BID!O29="","",BID!O29)</f>
        <v>0</v>
      </c>
      <c r="P29" s="406" t="str">
        <f>IF(BID!P29="","",BID!P29)</f>
        <v/>
      </c>
      <c r="Q29" s="406" t="str">
        <f>IF(BID!Q29="","",BID!Q29)</f>
        <v/>
      </c>
      <c r="R29" s="407" t="str">
        <f>IF(BID!R29="","",BID!R29)</f>
        <v/>
      </c>
      <c r="S29" s="408" t="str">
        <f>IF(BID!S29="","",BID!S29)</f>
        <v/>
      </c>
      <c r="T29" s="409" t="e">
        <f>IF(ISBLANK(A29),"",VLOOKUP(A29,gsrates!$A$3:$AL$38,38,FALSE))</f>
        <v>#N/A</v>
      </c>
      <c r="U29" s="381" t="str">
        <f t="shared" si="0"/>
        <v>-NA</v>
      </c>
      <c r="V29" s="382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2" t="str">
        <f>IF(BID!D30="","",BID!D30)</f>
        <v/>
      </c>
      <c r="E30" s="403" t="str">
        <f>IF(BID!E30="","",BID!E30)</f>
        <v/>
      </c>
      <c r="F30" s="403" t="str">
        <f>IF(BID!F30="","",BID!F30)</f>
        <v/>
      </c>
      <c r="G30" s="404" t="str">
        <f>IF(BID!G30="","",BID!G30)</f>
        <v/>
      </c>
      <c r="H30" s="405" t="str">
        <f>IF(BID!H30="","",BID!H30)</f>
        <v/>
      </c>
      <c r="I30" s="405" t="str">
        <f>IF(BID!I30="","",BID!I30)</f>
        <v/>
      </c>
      <c r="J30" s="405" t="str">
        <f>IF(BID!J30="","",BID!J30)</f>
        <v/>
      </c>
      <c r="K30" s="406" t="str">
        <f>IF(BID!K30="","",BID!K30)</f>
        <v/>
      </c>
      <c r="L30" s="217" t="str">
        <f>IF(BID!L30="","",BID!L30)</f>
        <v/>
      </c>
      <c r="M30" s="406" t="str">
        <f>IF(BID!M30="","",BID!M30)</f>
        <v/>
      </c>
      <c r="N30" s="406" t="str">
        <f>IF(BID!N30="","",BID!N30)</f>
        <v/>
      </c>
      <c r="O30" s="217">
        <f>IF(BID!O30="","",BID!O30)</f>
        <v>0</v>
      </c>
      <c r="P30" s="406" t="str">
        <f>IF(BID!P30="","",BID!P30)</f>
        <v/>
      </c>
      <c r="Q30" s="406" t="str">
        <f>IF(BID!Q30="","",BID!Q30)</f>
        <v/>
      </c>
      <c r="R30" s="407" t="str">
        <f>IF(BID!R30="","",BID!R30)</f>
        <v/>
      </c>
      <c r="S30" s="408" t="str">
        <f>IF(BID!S30="","",BID!S30)</f>
        <v/>
      </c>
      <c r="T30" s="409" t="e">
        <f>IF(ISBLANK(A30),"",VLOOKUP(A30,gsrates!$A$3:$AL$38,38,FALSE))</f>
        <v>#N/A</v>
      </c>
      <c r="U30" s="381" t="str">
        <f t="shared" si="0"/>
        <v>-NA</v>
      </c>
      <c r="V30" s="382" t="e">
        <f t="shared" si="2"/>
        <v>#N/A</v>
      </c>
    </row>
    <row r="31" spans="1:148" s="411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10"/>
      <c r="D31" s="402" t="str">
        <f>IF(BID!D31="","",BID!D31)</f>
        <v/>
      </c>
      <c r="E31" s="403" t="str">
        <f>IF(BID!E31="","",BID!E31)</f>
        <v/>
      </c>
      <c r="F31" s="403" t="str">
        <f>IF(BID!F31="","",BID!F31)</f>
        <v/>
      </c>
      <c r="G31" s="404" t="str">
        <f>IF(BID!G31="","",BID!G31)</f>
        <v/>
      </c>
      <c r="H31" s="405" t="str">
        <f>IF(BID!H31="","",BID!H31)</f>
        <v/>
      </c>
      <c r="I31" s="405" t="str">
        <f>IF(BID!I31="","",BID!I31)</f>
        <v/>
      </c>
      <c r="J31" s="405" t="str">
        <f>IF(BID!J31="","",BID!J31)</f>
        <v/>
      </c>
      <c r="K31" s="406" t="str">
        <f>IF(BID!K31="","",BID!K31)</f>
        <v/>
      </c>
      <c r="L31" s="217" t="str">
        <f>IF(BID!L31="","",BID!L31)</f>
        <v/>
      </c>
      <c r="M31" s="406" t="str">
        <f>IF(BID!M31="","",BID!M31)</f>
        <v/>
      </c>
      <c r="N31" s="406" t="str">
        <f>IF(BID!N31="","",BID!N31)</f>
        <v/>
      </c>
      <c r="O31" s="217">
        <f>IF(BID!O31="","",BID!O31)</f>
        <v>0</v>
      </c>
      <c r="P31" s="406" t="str">
        <f>IF(BID!P31="","",BID!P31)</f>
        <v/>
      </c>
      <c r="Q31" s="406" t="str">
        <f>IF(BID!Q31="","",BID!Q31)</f>
        <v/>
      </c>
      <c r="R31" s="407" t="str">
        <f>IF(BID!R31="","",BID!R31)</f>
        <v/>
      </c>
      <c r="S31" s="408" t="str">
        <f>IF(BID!S31="","",BID!S31)</f>
        <v/>
      </c>
      <c r="T31" s="409" t="e">
        <f>IF(ISBLANK(A31),"",VLOOKUP(A31,gsrates!$A$3:$AL$38,38,FALSE))</f>
        <v>#N/A</v>
      </c>
      <c r="U31" s="381" t="str">
        <f t="shared" si="0"/>
        <v>-NA</v>
      </c>
      <c r="V31" s="382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7" t="s">
        <v>11</v>
      </c>
      <c r="B32" s="457"/>
      <c r="C32" s="401"/>
      <c r="D32" s="401"/>
      <c r="E32" s="412"/>
      <c r="F32" s="412"/>
      <c r="G32" s="51"/>
      <c r="H32" s="413">
        <f>SUM(H14:H31)</f>
        <v>1.6</v>
      </c>
      <c r="I32" s="413">
        <f>SUM(I14:I31)</f>
        <v>12.8</v>
      </c>
      <c r="J32" s="33"/>
      <c r="K32" s="414">
        <f>SUM(K14:K31)</f>
        <v>3904</v>
      </c>
      <c r="L32" s="215"/>
      <c r="M32" s="215">
        <f>SUM(M14:M31)</f>
        <v>1779.2</v>
      </c>
      <c r="N32" s="414">
        <f>SUM(N14:N31)</f>
        <v>2124.8000000000002</v>
      </c>
      <c r="P32" s="215">
        <f>SUM(P14:P31)</f>
        <v>6400</v>
      </c>
      <c r="Q32" s="414">
        <f>SUM(Q14:Q31)</f>
        <v>4620.8</v>
      </c>
      <c r="R32" s="415">
        <f>IF(H32=0,"",Q32/P32)</f>
        <v>0.72199999999999998</v>
      </c>
      <c r="S32" s="51">
        <f>IF(H32=0,"",1-P32/K32)</f>
        <v>-0.63934426229508201</v>
      </c>
      <c r="T32" s="416" t="e">
        <f>SUM(T14:T31)</f>
        <v>#N/A</v>
      </c>
      <c r="V32" s="416" t="e">
        <f>SUM(V14:V31)</f>
        <v>#N/A</v>
      </c>
    </row>
    <row r="33" spans="1:148" x14ac:dyDescent="0.2">
      <c r="E33" s="412"/>
      <c r="F33" s="412"/>
      <c r="G33" s="51"/>
      <c r="H33" s="413"/>
      <c r="I33" s="413"/>
      <c r="J33" s="33"/>
      <c r="K33" s="414"/>
      <c r="L33" s="215"/>
      <c r="M33" s="215"/>
      <c r="N33" s="414"/>
      <c r="P33" s="215"/>
      <c r="Q33" s="414"/>
      <c r="R33" s="417"/>
      <c r="S33" s="51"/>
    </row>
    <row r="34" spans="1:148" outlineLevel="1" x14ac:dyDescent="0.2">
      <c r="B34" s="389"/>
      <c r="C34" s="389"/>
      <c r="D34" s="389"/>
      <c r="E34" s="57"/>
      <c r="F34" s="57"/>
      <c r="G34" s="57"/>
      <c r="H34" s="390"/>
      <c r="I34" s="391"/>
      <c r="J34" s="393"/>
      <c r="K34" s="418"/>
      <c r="L34" s="419"/>
      <c r="M34" s="419"/>
      <c r="N34" s="418"/>
      <c r="O34" s="393"/>
      <c r="P34" s="419"/>
      <c r="Q34" s="418"/>
      <c r="R34" s="390"/>
      <c r="S34" s="390"/>
    </row>
    <row r="35" spans="1:148" outlineLevel="1" x14ac:dyDescent="0.2">
      <c r="A35" s="394" t="s">
        <v>12</v>
      </c>
      <c r="B35" s="394" t="s">
        <v>53</v>
      </c>
      <c r="C35" s="394"/>
      <c r="D35" s="394"/>
      <c r="E35" s="395" t="s">
        <v>54</v>
      </c>
      <c r="F35" s="395" t="s">
        <v>55</v>
      </c>
      <c r="G35" s="395" t="s">
        <v>7</v>
      </c>
      <c r="H35" s="395" t="s">
        <v>20</v>
      </c>
      <c r="I35" s="396" t="s">
        <v>78</v>
      </c>
      <c r="J35" s="40" t="s">
        <v>10</v>
      </c>
      <c r="K35" s="395" t="s">
        <v>56</v>
      </c>
      <c r="L35" s="202" t="s">
        <v>57</v>
      </c>
      <c r="M35" s="202" t="s">
        <v>31</v>
      </c>
      <c r="N35" s="420" t="s">
        <v>21</v>
      </c>
      <c r="O35" s="40" t="s">
        <v>22</v>
      </c>
      <c r="P35" s="202" t="s">
        <v>58</v>
      </c>
      <c r="Q35" s="395" t="s">
        <v>32</v>
      </c>
      <c r="R35" s="395" t="s">
        <v>23</v>
      </c>
      <c r="S35" s="395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2" t="str">
        <f>IF(BID!D36="","",BID!D36)</f>
        <v/>
      </c>
      <c r="E36" s="403" t="str">
        <f>IF(BID!E36="","",BID!E36)</f>
        <v/>
      </c>
      <c r="F36" s="403" t="str">
        <f>IF(BID!F36="","",BID!F36)</f>
        <v/>
      </c>
      <c r="G36" s="404" t="str">
        <f>IF(BID!G36="","",BID!G36)</f>
        <v/>
      </c>
      <c r="H36" s="405" t="str">
        <f>IF(BID!H36="","",BID!H36)</f>
        <v/>
      </c>
      <c r="I36" s="405" t="str">
        <f>IF(BID!I36="","",BID!I36)</f>
        <v/>
      </c>
      <c r="J36" s="405" t="str">
        <f>IF(BID!J36="","",BID!J36)</f>
        <v/>
      </c>
      <c r="K36" s="406" t="str">
        <f>IF(BID!K36="","",BID!K36)</f>
        <v/>
      </c>
      <c r="L36" s="217" t="str">
        <f>IF(BID!L36="","",BID!L36)</f>
        <v/>
      </c>
      <c r="M36" s="406" t="str">
        <f>IF(BID!M36="","",BID!M36)</f>
        <v xml:space="preserve"> </v>
      </c>
      <c r="N36" s="406" t="str">
        <f>IF(BID!N36="","",BID!N36)</f>
        <v/>
      </c>
      <c r="O36" s="217" t="str">
        <f>IF(BID!O36="","",BID!O36)</f>
        <v/>
      </c>
      <c r="P36" s="406" t="str">
        <f>IF(BID!P36="","",BID!P36)</f>
        <v/>
      </c>
      <c r="Q36" s="406" t="str">
        <f>IF(BID!Q36="","",BID!Q36)</f>
        <v/>
      </c>
      <c r="R36" s="407" t="str">
        <f>IF(BID!R36="","",BID!R36)</f>
        <v/>
      </c>
      <c r="S36" s="408" t="str">
        <f>IF(BID!S36="","",BID!S36)</f>
        <v/>
      </c>
      <c r="U36" s="381" t="str">
        <f t="shared" ref="U36:U42" si="3">IF(ISBLANK(A36),"",CONCATENATE(C36,"-",$B$5))</f>
        <v>-NA</v>
      </c>
      <c r="Y36" s="401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2" t="str">
        <f>IF(BID!D37="","",BID!D37)</f>
        <v/>
      </c>
      <c r="E37" s="403" t="str">
        <f>IF(BID!E37="","",BID!E37)</f>
        <v/>
      </c>
      <c r="F37" s="403" t="str">
        <f>IF(BID!F37="","",BID!F37)</f>
        <v/>
      </c>
      <c r="G37" s="404" t="str">
        <f>IF(BID!G37="","",BID!G37)</f>
        <v/>
      </c>
      <c r="H37" s="405" t="str">
        <f>IF(BID!H37="","",BID!H37)</f>
        <v/>
      </c>
      <c r="I37" s="405" t="str">
        <f>IF(BID!I37="","",BID!I37)</f>
        <v/>
      </c>
      <c r="J37" s="405" t="str">
        <f>IF(BID!J37="","",BID!J37)</f>
        <v/>
      </c>
      <c r="K37" s="406" t="str">
        <f>IF(BID!K37="","",BID!K37)</f>
        <v/>
      </c>
      <c r="L37" s="217" t="str">
        <f>IF(BID!L37="","",BID!L37)</f>
        <v/>
      </c>
      <c r="M37" s="406" t="str">
        <f>IF(BID!M37="","",BID!M37)</f>
        <v xml:space="preserve"> </v>
      </c>
      <c r="N37" s="406" t="str">
        <f>IF(BID!N37="","",BID!N37)</f>
        <v/>
      </c>
      <c r="O37" s="217" t="str">
        <f>IF(BID!O37="","",BID!O37)</f>
        <v/>
      </c>
      <c r="P37" s="406" t="str">
        <f>IF(BID!P37="","",BID!P37)</f>
        <v/>
      </c>
      <c r="Q37" s="406" t="str">
        <f>IF(BID!Q37="","",BID!Q37)</f>
        <v/>
      </c>
      <c r="R37" s="407" t="str">
        <f>IF(BID!R37="","",BID!R37)</f>
        <v/>
      </c>
      <c r="S37" s="408" t="str">
        <f>IF(BID!S37="","",BID!S37)</f>
        <v/>
      </c>
      <c r="U37" s="381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2" t="str">
        <f>IF(BID!D38="","",BID!D38)</f>
        <v/>
      </c>
      <c r="E38" s="403" t="str">
        <f>IF(BID!E38="","",BID!E38)</f>
        <v/>
      </c>
      <c r="F38" s="403" t="str">
        <f>IF(BID!F38="","",BID!F38)</f>
        <v/>
      </c>
      <c r="G38" s="404" t="str">
        <f>IF(BID!G38="","",BID!G38)</f>
        <v/>
      </c>
      <c r="H38" s="405" t="str">
        <f>IF(BID!H38="","",BID!H38)</f>
        <v/>
      </c>
      <c r="I38" s="405" t="str">
        <f>IF(BID!I38="","",BID!I38)</f>
        <v/>
      </c>
      <c r="J38" s="405" t="str">
        <f>IF(BID!J38="","",BID!J38)</f>
        <v/>
      </c>
      <c r="K38" s="406" t="str">
        <f>IF(BID!K38="","",BID!K38)</f>
        <v/>
      </c>
      <c r="L38" s="217" t="str">
        <f>IF(BID!L38="","",BID!L38)</f>
        <v/>
      </c>
      <c r="M38" s="406" t="str">
        <f>IF(BID!M38="","",BID!M38)</f>
        <v xml:space="preserve"> </v>
      </c>
      <c r="N38" s="406" t="str">
        <f>IF(BID!N38="","",BID!N38)</f>
        <v/>
      </c>
      <c r="O38" s="217" t="str">
        <f>IF(BID!O38="","",BID!O38)</f>
        <v/>
      </c>
      <c r="P38" s="406" t="str">
        <f>IF(BID!P38="","",BID!P38)</f>
        <v/>
      </c>
      <c r="Q38" s="406" t="str">
        <f>IF(BID!Q38="","",BID!Q38)</f>
        <v/>
      </c>
      <c r="R38" s="407" t="str">
        <f>IF(BID!R38="","",BID!R38)</f>
        <v/>
      </c>
      <c r="S38" s="408" t="str">
        <f>IF(BID!S38="","",BID!S38)</f>
        <v/>
      </c>
      <c r="U38" s="381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2" t="str">
        <f>IF(BID!D39="","",BID!D39)</f>
        <v/>
      </c>
      <c r="E39" s="403" t="str">
        <f>IF(BID!E39="","",BID!E39)</f>
        <v/>
      </c>
      <c r="F39" s="403" t="str">
        <f>IF(BID!F39="","",BID!F39)</f>
        <v/>
      </c>
      <c r="G39" s="404" t="str">
        <f>IF(BID!G39="","",BID!G39)</f>
        <v/>
      </c>
      <c r="H39" s="405" t="str">
        <f>IF(BID!H39="","",BID!H39)</f>
        <v/>
      </c>
      <c r="I39" s="405" t="str">
        <f>IF(BID!I39="","",BID!I39)</f>
        <v/>
      </c>
      <c r="J39" s="405" t="str">
        <f>IF(BID!J39="","",BID!J39)</f>
        <v/>
      </c>
      <c r="K39" s="406" t="str">
        <f>IF(BID!K39="","",BID!K39)</f>
        <v/>
      </c>
      <c r="L39" s="217" t="str">
        <f>IF(BID!L39="","",BID!L39)</f>
        <v/>
      </c>
      <c r="M39" s="406" t="str">
        <f>IF(BID!M39="","",BID!M39)</f>
        <v xml:space="preserve"> </v>
      </c>
      <c r="N39" s="406" t="str">
        <f>IF(BID!N39="","",BID!N39)</f>
        <v/>
      </c>
      <c r="O39" s="217" t="str">
        <f>IF(BID!O39="","",BID!O39)</f>
        <v/>
      </c>
      <c r="P39" s="406" t="str">
        <f>IF(BID!P39="","",BID!P39)</f>
        <v/>
      </c>
      <c r="Q39" s="406" t="str">
        <f>IF(BID!Q39="","",BID!Q39)</f>
        <v/>
      </c>
      <c r="R39" s="407" t="str">
        <f>IF(BID!R39="","",BID!R39)</f>
        <v/>
      </c>
      <c r="S39" s="408" t="str">
        <f>IF(BID!S39="","",BID!S39)</f>
        <v/>
      </c>
      <c r="U39" s="381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2" t="str">
        <f>IF(BID!D40="","",BID!D40)</f>
        <v/>
      </c>
      <c r="E40" s="403" t="str">
        <f>IF(BID!E40="","",BID!E40)</f>
        <v/>
      </c>
      <c r="F40" s="403" t="str">
        <f>IF(BID!F40="","",BID!F40)</f>
        <v/>
      </c>
      <c r="G40" s="404" t="str">
        <f>IF(BID!G40="","",BID!G40)</f>
        <v/>
      </c>
      <c r="H40" s="405" t="str">
        <f>IF(BID!H40="","",BID!H40)</f>
        <v/>
      </c>
      <c r="I40" s="405" t="str">
        <f>IF(BID!I40="","",BID!I40)</f>
        <v/>
      </c>
      <c r="J40" s="405" t="str">
        <f>IF(BID!J40="","",BID!J40)</f>
        <v/>
      </c>
      <c r="K40" s="406" t="str">
        <f>IF(BID!K40="","",BID!K40)</f>
        <v/>
      </c>
      <c r="L40" s="217" t="str">
        <f>IF(BID!L40="","",BID!L40)</f>
        <v/>
      </c>
      <c r="M40" s="406" t="str">
        <f>IF(BID!M40="","",BID!M40)</f>
        <v xml:space="preserve"> </v>
      </c>
      <c r="N40" s="406" t="str">
        <f>IF(BID!N40="","",BID!N40)</f>
        <v/>
      </c>
      <c r="O40" s="217" t="str">
        <f>IF(BID!O40="","",BID!O40)</f>
        <v/>
      </c>
      <c r="P40" s="406" t="str">
        <f>IF(BID!P40="","",BID!P40)</f>
        <v/>
      </c>
      <c r="Q40" s="406" t="str">
        <f>IF(BID!Q40="","",BID!Q40)</f>
        <v/>
      </c>
      <c r="R40" s="407" t="str">
        <f>IF(BID!R40="","",BID!R40)</f>
        <v/>
      </c>
      <c r="S40" s="408" t="str">
        <f>IF(BID!S40="","",BID!S40)</f>
        <v/>
      </c>
      <c r="U40" s="381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2" t="str">
        <f>IF(BID!D41="","",BID!D41)</f>
        <v/>
      </c>
      <c r="E41" s="403" t="str">
        <f>IF(BID!E41="","",BID!E41)</f>
        <v/>
      </c>
      <c r="F41" s="403" t="str">
        <f>IF(BID!F41="","",BID!F41)</f>
        <v/>
      </c>
      <c r="G41" s="404" t="str">
        <f>IF(BID!G41="","",BID!G41)</f>
        <v/>
      </c>
      <c r="H41" s="405" t="str">
        <f>IF(BID!H41="","",BID!H41)</f>
        <v/>
      </c>
      <c r="I41" s="405" t="str">
        <f>IF(BID!I41="","",BID!I41)</f>
        <v/>
      </c>
      <c r="J41" s="405" t="str">
        <f>IF(BID!J41="","",BID!J41)</f>
        <v/>
      </c>
      <c r="K41" s="406" t="str">
        <f>IF(BID!K41="","",BID!K41)</f>
        <v/>
      </c>
      <c r="L41" s="217" t="str">
        <f>IF(BID!L41="","",BID!L41)</f>
        <v/>
      </c>
      <c r="M41" s="406" t="str">
        <f>IF(BID!M41="","",BID!M41)</f>
        <v xml:space="preserve"> </v>
      </c>
      <c r="N41" s="406" t="str">
        <f>IF(BID!N41="","",BID!N41)</f>
        <v/>
      </c>
      <c r="O41" s="217" t="str">
        <f>IF(BID!O41="","",BID!O41)</f>
        <v/>
      </c>
      <c r="P41" s="406" t="str">
        <f>IF(BID!P41="","",BID!P41)</f>
        <v/>
      </c>
      <c r="Q41" s="406" t="str">
        <f>IF(BID!Q41="","",BID!Q41)</f>
        <v/>
      </c>
      <c r="R41" s="407" t="str">
        <f>IF(BID!R41="","",BID!R41)</f>
        <v/>
      </c>
      <c r="S41" s="408" t="str">
        <f>IF(BID!S41="","",BID!S41)</f>
        <v/>
      </c>
      <c r="U41" s="381" t="str">
        <f t="shared" si="3"/>
        <v>-NA</v>
      </c>
    </row>
    <row r="42" spans="1:148" s="411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10"/>
      <c r="D42" s="402" t="str">
        <f>IF(BID!D42="","",BID!D42)</f>
        <v/>
      </c>
      <c r="E42" s="403" t="str">
        <f>IF(BID!E42="","",BID!E42)</f>
        <v/>
      </c>
      <c r="F42" s="403" t="str">
        <f>IF(BID!F42="","",BID!F42)</f>
        <v/>
      </c>
      <c r="G42" s="404" t="str">
        <f>IF(BID!G42="","",BID!G42)</f>
        <v/>
      </c>
      <c r="H42" s="405" t="str">
        <f>IF(BID!H42="","",BID!H42)</f>
        <v/>
      </c>
      <c r="I42" s="405" t="str">
        <f>IF(BID!I42="","",BID!I42)</f>
        <v/>
      </c>
      <c r="J42" s="405" t="str">
        <f>IF(BID!J42="","",BID!J42)</f>
        <v/>
      </c>
      <c r="K42" s="406" t="str">
        <f>IF(BID!K42="","",BID!K42)</f>
        <v/>
      </c>
      <c r="L42" s="217" t="str">
        <f>IF(BID!L42="","",BID!L42)</f>
        <v/>
      </c>
      <c r="M42" s="406" t="str">
        <f>IF(BID!M42="","",BID!M42)</f>
        <v xml:space="preserve"> </v>
      </c>
      <c r="N42" s="406" t="str">
        <f>IF(BID!N42="","",BID!N42)</f>
        <v/>
      </c>
      <c r="O42" s="217" t="str">
        <f>IF(BID!O42="","",BID!O42)</f>
        <v/>
      </c>
      <c r="P42" s="406" t="str">
        <f>IF(BID!P42="","",BID!P42)</f>
        <v/>
      </c>
      <c r="Q42" s="406" t="str">
        <f>IF(BID!Q42="","",BID!Q42)</f>
        <v/>
      </c>
      <c r="R42" s="407" t="str">
        <f>IF(BID!R42="","",BID!R42)</f>
        <v/>
      </c>
      <c r="S42" s="408" t="str">
        <f>IF(BID!S42="","",BID!S42)</f>
        <v/>
      </c>
      <c r="T42" s="421"/>
      <c r="U42" s="381" t="str">
        <f t="shared" si="3"/>
        <v>-NA</v>
      </c>
      <c r="V42" s="382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9" t="s">
        <v>13</v>
      </c>
      <c r="H43" s="413">
        <f>SUM(H36:H42)</f>
        <v>0</v>
      </c>
      <c r="I43" s="413">
        <f>SUM(I36:I42)</f>
        <v>0</v>
      </c>
      <c r="J43" s="33"/>
      <c r="K43" s="414">
        <f>SUM(K36:K42)</f>
        <v>0</v>
      </c>
      <c r="L43" s="215"/>
      <c r="M43" s="215">
        <f>SUM(M36:M42)</f>
        <v>0</v>
      </c>
      <c r="N43" s="414">
        <f>SUM(N36:N42)</f>
        <v>0</v>
      </c>
      <c r="P43" s="215">
        <f>SUM(P36:P42)</f>
        <v>0</v>
      </c>
      <c r="Q43" s="414">
        <f>SUM(Q36:Q42)</f>
        <v>0</v>
      </c>
      <c r="R43" s="415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4"/>
      <c r="L44" s="215"/>
      <c r="M44" s="215"/>
      <c r="N44" s="414"/>
      <c r="P44" s="215"/>
      <c r="Q44" s="414"/>
    </row>
    <row r="45" spans="1:148" x14ac:dyDescent="0.2">
      <c r="A45" s="389" t="s">
        <v>14</v>
      </c>
      <c r="H45" s="422">
        <f>BID!H45</f>
        <v>0</v>
      </c>
      <c r="I45" s="423">
        <f>BID!I45</f>
        <v>0</v>
      </c>
      <c r="J45" s="33"/>
      <c r="K45" s="422">
        <f>BID!K45</f>
        <v>488</v>
      </c>
      <c r="L45" s="215"/>
      <c r="M45" s="422">
        <f>BID!M45</f>
        <v>222.4</v>
      </c>
      <c r="N45" s="422">
        <f>BID!N45</f>
        <v>265.60000000000002</v>
      </c>
      <c r="P45" s="422">
        <f>BID!P45</f>
        <v>800</v>
      </c>
      <c r="Q45" s="422">
        <f>BID!Q45</f>
        <v>577.6</v>
      </c>
      <c r="R45" s="415">
        <f>BID!R43</f>
        <v>0</v>
      </c>
      <c r="S45" s="415">
        <f>BID!S43</f>
        <v>1</v>
      </c>
    </row>
    <row r="46" spans="1:148" x14ac:dyDescent="0.2">
      <c r="A46" s="389" t="s">
        <v>166</v>
      </c>
      <c r="H46" s="422">
        <f>BID!H46</f>
        <v>0</v>
      </c>
      <c r="I46" s="423">
        <f>BID!I46</f>
        <v>0</v>
      </c>
      <c r="J46" s="33"/>
      <c r="K46" s="422">
        <f>BID!K46</f>
        <v>0</v>
      </c>
      <c r="L46" s="215"/>
      <c r="M46" s="422">
        <f>BID!M46</f>
        <v>0</v>
      </c>
      <c r="N46" s="422">
        <f>BID!N46</f>
        <v>0</v>
      </c>
      <c r="P46" s="422">
        <f>BID!P46</f>
        <v>0</v>
      </c>
      <c r="Q46" s="422">
        <f>BID!Q46</f>
        <v>0</v>
      </c>
      <c r="R46" s="415">
        <f>BID!R44</f>
        <v>0</v>
      </c>
      <c r="S46" s="415">
        <f>BID!S44</f>
        <v>0</v>
      </c>
    </row>
    <row r="47" spans="1:148" x14ac:dyDescent="0.2">
      <c r="A47" s="389" t="s">
        <v>165</v>
      </c>
      <c r="H47" s="422">
        <f>BID!H47</f>
        <v>0</v>
      </c>
      <c r="I47" s="423">
        <f>BID!I47</f>
        <v>0</v>
      </c>
      <c r="J47" s="33"/>
      <c r="K47" s="422">
        <f>BID!K47</f>
        <v>0</v>
      </c>
      <c r="L47" s="215"/>
      <c r="M47" s="422">
        <f>BID!M47</f>
        <v>0</v>
      </c>
      <c r="N47" s="422">
        <f>BID!N47</f>
        <v>0</v>
      </c>
      <c r="P47" s="422">
        <f>BID!P47</f>
        <v>0</v>
      </c>
      <c r="Q47" s="422">
        <f>BID!Q47</f>
        <v>0</v>
      </c>
      <c r="R47" s="415" t="str">
        <f>BID!R45</f>
        <v/>
      </c>
      <c r="S47" s="415" t="str">
        <f>BID!S45</f>
        <v/>
      </c>
    </row>
    <row r="48" spans="1:148" x14ac:dyDescent="0.2">
      <c r="A48" s="389" t="s">
        <v>141</v>
      </c>
      <c r="H48" s="422">
        <f>BID!H48</f>
        <v>1.6</v>
      </c>
      <c r="I48" s="423">
        <f>BID!I48</f>
        <v>12.8</v>
      </c>
      <c r="J48" s="33"/>
      <c r="K48" s="422">
        <f>BID!K48</f>
        <v>4392</v>
      </c>
      <c r="L48" s="215"/>
      <c r="M48" s="422">
        <f>BID!M48</f>
        <v>2001.6000000000001</v>
      </c>
      <c r="N48" s="422">
        <f>BID!N48</f>
        <v>2390.4</v>
      </c>
      <c r="P48" s="422">
        <f>BID!P48</f>
        <v>7200</v>
      </c>
      <c r="Q48" s="422">
        <f>BID!Q48</f>
        <v>5198.4000000000005</v>
      </c>
      <c r="R48" s="415" t="str">
        <f>BID!R46</f>
        <v/>
      </c>
      <c r="S48" s="415" t="str">
        <f>BID!S46</f>
        <v/>
      </c>
    </row>
    <row r="49" spans="1:148" x14ac:dyDescent="0.2">
      <c r="A49" s="389"/>
      <c r="H49" s="424"/>
      <c r="I49" s="423"/>
      <c r="J49" s="33"/>
      <c r="K49" s="425"/>
      <c r="L49" s="215"/>
      <c r="M49" s="425"/>
      <c r="N49" s="425"/>
      <c r="P49" s="425"/>
      <c r="Q49" s="425"/>
      <c r="R49" s="415"/>
      <c r="S49" s="51"/>
    </row>
    <row r="50" spans="1:148" hidden="1" outlineLevel="1" x14ac:dyDescent="0.2">
      <c r="A50" s="394" t="s">
        <v>139</v>
      </c>
      <c r="B50" s="394"/>
      <c r="C50" s="394"/>
      <c r="D50" s="394"/>
      <c r="E50" s="395" t="s">
        <v>54</v>
      </c>
      <c r="F50" s="395" t="s">
        <v>55</v>
      </c>
      <c r="G50" s="395" t="s">
        <v>143</v>
      </c>
      <c r="H50" s="395" t="s">
        <v>20</v>
      </c>
      <c r="I50" s="396" t="s">
        <v>78</v>
      </c>
      <c r="J50" s="40" t="s">
        <v>10</v>
      </c>
      <c r="K50" s="395" t="s">
        <v>56</v>
      </c>
      <c r="L50" s="202"/>
      <c r="M50" s="202" t="s">
        <v>31</v>
      </c>
      <c r="N50" s="420" t="s">
        <v>21</v>
      </c>
      <c r="O50" s="40" t="s">
        <v>22</v>
      </c>
      <c r="P50" s="202" t="s">
        <v>58</v>
      </c>
      <c r="Q50" s="395" t="s">
        <v>32</v>
      </c>
      <c r="R50" s="395"/>
      <c r="S50" s="395"/>
    </row>
    <row r="51" spans="1:148" hidden="1" outlineLevel="1" x14ac:dyDescent="0.2">
      <c r="A51" s="190"/>
      <c r="B51" s="190"/>
      <c r="C51" s="190"/>
      <c r="D51" s="190"/>
      <c r="E51" s="403"/>
      <c r="F51" s="403"/>
      <c r="G51" s="404"/>
      <c r="H51" s="405" t="str">
        <f>IF(ISBLANK(A51),"",NETWORKDAYS(E51,F51)*G51)</f>
        <v/>
      </c>
      <c r="I51" s="426" t="str">
        <f>IF(ISBLANK(A51),"",H51*$B$9)</f>
        <v/>
      </c>
      <c r="J51" s="161">
        <v>0</v>
      </c>
      <c r="K51" s="406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6" t="str">
        <f>IF(ISBLANK(A51),"",(J51*H51*8)-M51)</f>
        <v/>
      </c>
      <c r="O51" s="161">
        <v>0</v>
      </c>
      <c r="P51" s="217" t="str">
        <f>IF(ISBLANK(A51),"",H51*O51*$B$9)</f>
        <v/>
      </c>
      <c r="Q51" s="406" t="str">
        <f>IF(ISBLANK(A51),"",P51-M51)</f>
        <v/>
      </c>
      <c r="R51" s="407"/>
      <c r="S51" s="408"/>
      <c r="T51" s="381"/>
      <c r="U51" s="381" t="str">
        <f>IF(ISBLANK(A51),"",CONCATENATE(C51,"-",$B$5))</f>
        <v/>
      </c>
      <c r="Y51" s="401"/>
    </row>
    <row r="52" spans="1:148" hidden="1" outlineLevel="1" x14ac:dyDescent="0.2">
      <c r="A52" s="190"/>
      <c r="B52" s="190"/>
      <c r="C52" s="190"/>
      <c r="D52" s="190"/>
      <c r="E52" s="403"/>
      <c r="F52" s="403"/>
      <c r="G52" s="404"/>
      <c r="H52" s="405" t="str">
        <f>IF(ISBLANK(A52),"",NETWORKDAYS(E52,F52)*G52)</f>
        <v/>
      </c>
      <c r="I52" s="426" t="str">
        <f>IF(ISBLANK(A52),"",H52*$B$9)</f>
        <v/>
      </c>
      <c r="J52" s="161">
        <v>0</v>
      </c>
      <c r="K52" s="406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6" t="str">
        <f>IF(ISBLANK(A52),"",K52-M52)</f>
        <v/>
      </c>
      <c r="O52" s="161">
        <v>0</v>
      </c>
      <c r="P52" s="217" t="str">
        <f>IF(ISBLANK(A52),"",H52*O52*$B$9)</f>
        <v/>
      </c>
      <c r="Q52" s="406" t="str">
        <f>IF(ISBLANK(A52),"",P52-M52)</f>
        <v/>
      </c>
      <c r="R52" s="407"/>
      <c r="S52" s="408"/>
      <c r="T52" s="381"/>
      <c r="U52" s="381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3"/>
      <c r="F53" s="403"/>
      <c r="G53" s="404"/>
      <c r="H53" s="405" t="str">
        <f>IF(ISBLANK(A53),"",NETWORKDAYS(E53,F53)*G53)</f>
        <v/>
      </c>
      <c r="I53" s="426" t="str">
        <f>IF(ISBLANK(A53),"",H53*$B$9)</f>
        <v/>
      </c>
      <c r="J53" s="161">
        <v>0</v>
      </c>
      <c r="K53" s="406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6" t="str">
        <f>IF(ISBLANK(A53),"",K53-M53)</f>
        <v/>
      </c>
      <c r="O53" s="161">
        <v>0</v>
      </c>
      <c r="P53" s="217" t="str">
        <f>IF(ISBLANK(A53),"",H53*O53*$B$9)</f>
        <v/>
      </c>
      <c r="Q53" s="406" t="str">
        <f>IF(ISBLANK(A53),"",P53-M53)</f>
        <v/>
      </c>
      <c r="R53" s="407" t="str">
        <f>IF(ISBLANK(A53),"",Q53/P53)</f>
        <v/>
      </c>
      <c r="S53" s="408" t="str">
        <f>IF(ISBLANK(A53),"",1-P53/K53)</f>
        <v/>
      </c>
      <c r="T53" s="381"/>
      <c r="U53" s="381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3"/>
      <c r="F54" s="403"/>
      <c r="G54" s="404"/>
      <c r="H54" s="405" t="str">
        <f>IF(ISBLANK(A54),"",NETWORKDAYS(E54,F54)*G54)</f>
        <v/>
      </c>
      <c r="I54" s="426" t="str">
        <f>IF(ISBLANK(A54),"",H54*$B$9)</f>
        <v/>
      </c>
      <c r="J54" s="161">
        <v>0</v>
      </c>
      <c r="K54" s="406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6" t="str">
        <f>IF(ISBLANK(A54),"",K54-M54)</f>
        <v/>
      </c>
      <c r="O54" s="161">
        <v>0</v>
      </c>
      <c r="P54" s="217" t="str">
        <f>IF(ISBLANK(A54),"",H54*O54*$B$9)</f>
        <v/>
      </c>
      <c r="Q54" s="406" t="str">
        <f>IF(ISBLANK(A54),"",P54-M54)</f>
        <v/>
      </c>
      <c r="R54" s="407" t="str">
        <f>IF(ISBLANK(A54),"",Q54/P54)</f>
        <v/>
      </c>
      <c r="S54" s="408" t="str">
        <f>IF(ISBLANK(A54),"",1-P54/K54)</f>
        <v/>
      </c>
      <c r="T54" s="381"/>
      <c r="U54" s="381" t="str">
        <f>IF(ISBLANK(A54),"",CONCATENATE(C54,"-",$B$5))</f>
        <v/>
      </c>
    </row>
    <row r="55" spans="1:148" ht="13.5" hidden="1" outlineLevel="1" thickBot="1" x14ac:dyDescent="0.25">
      <c r="A55" s="410"/>
      <c r="B55" s="410"/>
      <c r="C55" s="410"/>
      <c r="D55" s="410"/>
      <c r="E55" s="427"/>
      <c r="F55" s="427"/>
      <c r="G55" s="428"/>
      <c r="H55" s="429" t="str">
        <f>IF(ISBLANK(A55),"",NETWORKDAYS(E55,F55)*G55)</f>
        <v/>
      </c>
      <c r="I55" s="430" t="str">
        <f>IF(ISBLANK(A55),"",H55*$B$9)</f>
        <v/>
      </c>
      <c r="J55" s="168">
        <v>0</v>
      </c>
      <c r="K55" s="43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1" t="str">
        <f>IF(ISBLANK(A55),"",K55-M55)</f>
        <v/>
      </c>
      <c r="O55" s="168">
        <v>0</v>
      </c>
      <c r="P55" s="216" t="str">
        <f>IF(ISBLANK(A55),"",H55*O55*$B$9)</f>
        <v/>
      </c>
      <c r="Q55" s="431" t="str">
        <f>IF(ISBLANK(A55),"",P55-M55)</f>
        <v/>
      </c>
      <c r="R55" s="432" t="str">
        <f>IF(ISBLANK(A55),"",Q55/P55)</f>
        <v/>
      </c>
      <c r="S55" s="433" t="str">
        <f>IF(ISBLANK(A55),"",1-P55/K55)</f>
        <v/>
      </c>
      <c r="T55" s="421"/>
      <c r="U55" s="381" t="str">
        <f>IF(ISBLANK(A55),"",CONCATENATE(C55,"-",$B$5))</f>
        <v/>
      </c>
    </row>
    <row r="56" spans="1:148" hidden="1" x14ac:dyDescent="0.2">
      <c r="A56" s="389" t="s">
        <v>140</v>
      </c>
      <c r="H56" s="424">
        <f>SUM(H51:H55)</f>
        <v>0</v>
      </c>
      <c r="I56" s="424">
        <f>SUM(I51:I55)</f>
        <v>0</v>
      </c>
      <c r="J56" s="33"/>
      <c r="K56" s="425"/>
      <c r="L56" s="215"/>
      <c r="M56" s="425"/>
      <c r="N56" s="425"/>
      <c r="P56" s="425"/>
      <c r="Q56" s="425"/>
      <c r="R56" s="415"/>
      <c r="S56" s="51"/>
    </row>
    <row r="57" spans="1:148" hidden="1" x14ac:dyDescent="0.2">
      <c r="A57" s="389"/>
      <c r="H57" s="424"/>
      <c r="I57" s="423"/>
      <c r="J57" s="33"/>
      <c r="K57" s="434"/>
      <c r="L57" s="215"/>
      <c r="M57" s="425"/>
      <c r="N57" s="425"/>
      <c r="P57" s="434"/>
      <c r="Q57" s="425"/>
      <c r="R57" s="415" t="str">
        <f>IF(H57=0,"",Q57/P57)</f>
        <v/>
      </c>
      <c r="S57" s="51" t="str">
        <f>IF(H57=0,"",1-P57/K57)</f>
        <v/>
      </c>
    </row>
    <row r="58" spans="1:148" s="411" customFormat="1" x14ac:dyDescent="0.2">
      <c r="A58" s="394" t="s">
        <v>16</v>
      </c>
      <c r="I58" s="435"/>
      <c r="J58" s="436"/>
      <c r="K58" s="437"/>
      <c r="L58" s="438"/>
      <c r="M58" s="438">
        <f>BID!M58</f>
        <v>0</v>
      </c>
      <c r="N58" s="437"/>
      <c r="O58" s="436"/>
      <c r="P58" s="438">
        <f>BID!P58</f>
        <v>0</v>
      </c>
      <c r="Q58" s="437"/>
      <c r="R58" s="439"/>
      <c r="T58" s="440"/>
      <c r="U58" s="381"/>
      <c r="V58" s="382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1" t="s">
        <v>17</v>
      </c>
      <c r="H59" s="413">
        <f>H48+H56</f>
        <v>1.6</v>
      </c>
      <c r="I59" s="413">
        <f>I48+I56</f>
        <v>12.8</v>
      </c>
      <c r="J59" s="33"/>
      <c r="K59" s="414">
        <f>K48</f>
        <v>4392</v>
      </c>
      <c r="L59" s="215"/>
      <c r="M59" s="215">
        <f>M48+M58</f>
        <v>2001.6000000000001</v>
      </c>
      <c r="N59" s="414">
        <f>N48</f>
        <v>2390.4</v>
      </c>
      <c r="P59" s="215">
        <f>P48+P58</f>
        <v>7200</v>
      </c>
      <c r="Q59" s="414">
        <f>Q48</f>
        <v>5198.4000000000005</v>
      </c>
      <c r="R59" s="415" t="str">
        <f>BID!R57</f>
        <v/>
      </c>
      <c r="S59" s="415" t="str">
        <f>BID!S57</f>
        <v/>
      </c>
    </row>
    <row r="60" spans="1:148" ht="4.5" customHeight="1" thickBot="1" x14ac:dyDescent="0.25">
      <c r="J60" s="33"/>
      <c r="K60" s="414"/>
      <c r="L60" s="215"/>
      <c r="M60" s="215"/>
      <c r="N60" s="414"/>
      <c r="P60" s="215"/>
      <c r="Q60" s="414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2">
        <f>P59</f>
        <v>7200</v>
      </c>
      <c r="Q61" s="67">
        <f>P61-M59</f>
        <v>5198.3999999999996</v>
      </c>
      <c r="R61" s="415">
        <f>BID!R59</f>
        <v>0.72200000000000009</v>
      </c>
      <c r="S61" s="415">
        <f>BID!S59</f>
        <v>-0.63934426229508201</v>
      </c>
    </row>
    <row r="62" spans="1:148" ht="6" customHeight="1" x14ac:dyDescent="0.2">
      <c r="J62" s="33"/>
      <c r="K62" s="414"/>
      <c r="L62" s="215"/>
      <c r="M62" s="215"/>
      <c r="N62" s="414"/>
      <c r="P62" s="215"/>
      <c r="Q62" s="414"/>
    </row>
    <row r="63" spans="1:148" outlineLevel="1" x14ac:dyDescent="0.2">
      <c r="A63" s="126" t="str">
        <f>IF($B$8="Estimate","Low Estimate","")</f>
        <v/>
      </c>
      <c r="H63" s="413">
        <f>H59*(1-$G$8)</f>
        <v>1.52</v>
      </c>
      <c r="I63" s="413">
        <f>I59*(1-$G$8)</f>
        <v>12.16</v>
      </c>
      <c r="J63" s="33"/>
      <c r="K63" s="414">
        <f>K59*(1-$G$8)</f>
        <v>4172.3999999999996</v>
      </c>
      <c r="L63" s="215"/>
      <c r="M63" s="215">
        <f>M59*(1-$G$8)</f>
        <v>1901.52</v>
      </c>
      <c r="N63" s="414">
        <f>N59*(1-$G$8)</f>
        <v>2270.88</v>
      </c>
      <c r="O63" s="387"/>
      <c r="P63" s="215">
        <f>P59*(1-$G$8)</f>
        <v>6840</v>
      </c>
      <c r="Q63" s="414">
        <f>Q59*(1-$G$8)</f>
        <v>4938.4800000000005</v>
      </c>
      <c r="R63" s="415">
        <f>IF(ISBLANK(A63),"",IF(P63&gt;0,Q63/P63,0))</f>
        <v>0.72200000000000009</v>
      </c>
      <c r="S63" s="51"/>
    </row>
    <row r="64" spans="1:148" outlineLevel="1" x14ac:dyDescent="0.2">
      <c r="A64" s="126" t="str">
        <f>IF($B$8="Estimate","High Estimate","")</f>
        <v/>
      </c>
      <c r="H64" s="413">
        <f>H59*(1+$G$9)</f>
        <v>1.92</v>
      </c>
      <c r="I64" s="413">
        <f>I59*(1+$G$9)</f>
        <v>15.36</v>
      </c>
      <c r="J64" s="33"/>
      <c r="K64" s="414">
        <f>K59*(1+$G$9)</f>
        <v>5270.4</v>
      </c>
      <c r="L64" s="215"/>
      <c r="M64" s="215">
        <f>M59*(1+$G$9)</f>
        <v>2401.92</v>
      </c>
      <c r="N64" s="414">
        <f>N59*(1+$G$9)</f>
        <v>2868.48</v>
      </c>
      <c r="O64" s="387"/>
      <c r="P64" s="215">
        <f>P59*(1+$G$9)</f>
        <v>8640</v>
      </c>
      <c r="Q64" s="414">
        <f>Q59*(1+$G$9)</f>
        <v>6238.0800000000008</v>
      </c>
      <c r="R64" s="415">
        <f>IF(ISBLANK(A64),"",IF(P64&gt;0,Q64/P64,0))</f>
        <v>0.72200000000000009</v>
      </c>
      <c r="S64" s="51"/>
    </row>
    <row r="65" spans="8:10" x14ac:dyDescent="0.2">
      <c r="J65" s="33"/>
    </row>
    <row r="67" spans="8:10" x14ac:dyDescent="0.2">
      <c r="H67" s="422"/>
    </row>
    <row r="68" spans="8:10" x14ac:dyDescent="0.2">
      <c r="H68" s="422"/>
    </row>
    <row r="69" spans="8:10" x14ac:dyDescent="0.2">
      <c r="H69" s="422"/>
    </row>
    <row r="70" spans="8:10" x14ac:dyDescent="0.2">
      <c r="H70" s="422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2"/>
      <c r="J88" s="126"/>
      <c r="K88" s="126"/>
      <c r="L88" s="379"/>
      <c r="M88" s="379"/>
      <c r="N88" s="126"/>
      <c r="O88" s="33"/>
      <c r="P88" s="379"/>
      <c r="Q88" s="126"/>
      <c r="R88" s="126"/>
      <c r="S88" s="126"/>
      <c r="T88" s="380"/>
      <c r="U88" s="381"/>
      <c r="V88" s="382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2"/>
      <c r="J89" s="126"/>
      <c r="K89" s="126"/>
      <c r="L89" s="379"/>
      <c r="M89" s="379"/>
      <c r="N89" s="126"/>
      <c r="O89" s="33"/>
      <c r="P89" s="379"/>
      <c r="Q89" s="126"/>
      <c r="R89" s="126"/>
      <c r="S89" s="126"/>
      <c r="T89" s="380"/>
      <c r="U89" s="381"/>
      <c r="V89" s="382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2"/>
      <c r="J90" s="126"/>
      <c r="K90" s="126"/>
      <c r="L90" s="379"/>
      <c r="M90" s="379"/>
      <c r="N90" s="126"/>
      <c r="O90" s="33"/>
      <c r="P90" s="379"/>
      <c r="Q90" s="126"/>
      <c r="R90" s="126"/>
      <c r="S90" s="126"/>
      <c r="T90" s="380"/>
      <c r="U90" s="381"/>
      <c r="V90" s="382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" sqref="G1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B1" sqref="B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3-6_eng2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7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v>43498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 t="s">
        <v>269</v>
      </c>
      <c r="C7" s="139"/>
      <c r="D7" s="139"/>
      <c r="E7" s="4" t="str">
        <f>IF(B7&gt;MAX(F14:F42),"Staffing ends before project end date!",IF(B7&lt;MAX(F14:F42),"Staffing continues after end date!",""))</f>
        <v>Staffing ends before project end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265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210</v>
      </c>
      <c r="B14" s="156"/>
      <c r="C14" s="86"/>
      <c r="D14" s="373">
        <v>2</v>
      </c>
      <c r="E14" s="157">
        <v>43498</v>
      </c>
      <c r="F14" s="157">
        <v>43500</v>
      </c>
      <c r="G14" s="158">
        <v>0.8</v>
      </c>
      <c r="H14" s="159">
        <f>IF(D14&gt;0,IF(ISBLANK(A14),"",(NETWORKDAYS(E14,F14)*G14)*D14),"")</f>
        <v>1.6</v>
      </c>
      <c r="I14" s="160">
        <f t="shared" ref="I14:I31" si="0">IF(ISBLANK(A14),"",H14*$B$9)</f>
        <v>12.8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3904</v>
      </c>
      <c r="L14" s="203">
        <f>IF(ISBLANK(A14),"",VLOOKUP(A14,gsrates!$A$3:$AK$38,VLOOKUP($B$5,gsrates!$A$41:$C$58,3,FALSE),FALSE))</f>
        <v>139</v>
      </c>
      <c r="M14" s="203">
        <f t="shared" ref="M14:M31" si="2">IF(ISBLANK(A14),"",L14*H14*8)</f>
        <v>1779.2</v>
      </c>
      <c r="N14" s="79">
        <f t="shared" ref="N14:N31" si="3">IF(ISBLANK(A14),"",K14-M14)</f>
        <v>2124.8000000000002</v>
      </c>
      <c r="O14" s="173">
        <v>500</v>
      </c>
      <c r="P14" s="203">
        <f t="shared" ref="P14:P31" si="4">IF(ISBLANK(A14),"",H14*O14*$B$9)</f>
        <v>6400</v>
      </c>
      <c r="Q14" s="79">
        <f t="shared" ref="Q14:Q31" si="5">IF(ISBLANK(A14),"",P14-M14)</f>
        <v>4620.8</v>
      </c>
      <c r="R14" s="151">
        <f t="shared" ref="R14:R31" si="6">IF(ISBLANK(A14),"",Q14/P14)</f>
        <v>0.72199999999999998</v>
      </c>
      <c r="S14" s="162">
        <f t="shared" ref="S14:S31" si="7">IF(ISBLANK(A14),"",1-P14/K14)</f>
        <v>-0.63934426229508201</v>
      </c>
      <c r="T14" s="361">
        <f>IF(ISBLANK(A14),"",VLOOKUP(A14,gsrates!$A$3:$AL$38,38,FALSE))</f>
        <v>0</v>
      </c>
      <c r="U14" s="364" t="str">
        <f t="shared" ref="U14:U31" si="8">IF(ISBLANK(A14),"",CONCATENATE(C14,"-",$B$5))</f>
        <v>-NA</v>
      </c>
      <c r="V14" s="367">
        <f t="shared" ref="V14:V23" si="9">IF(T14=1,I14,0)</f>
        <v>0</v>
      </c>
      <c r="Y14" s="41" t="s">
        <v>155</v>
      </c>
    </row>
    <row r="15" spans="1:148" outlineLevel="1" x14ac:dyDescent="0.2">
      <c r="A15" s="156"/>
      <c r="B15" s="156"/>
      <c r="C15" s="86"/>
      <c r="D15" s="373"/>
      <c r="E15" s="157"/>
      <c r="F15" s="157"/>
      <c r="G15" s="158"/>
      <c r="H15" s="159" t="str">
        <f>IF(D15&gt;0,(IF(ISBLANK(A15),"",NETWORKDAYS(E15,F15)*G15)*D15),"")</f>
        <v/>
      </c>
      <c r="I15" s="160" t="str">
        <f t="shared" si="0"/>
        <v/>
      </c>
      <c r="J15" s="172" t="str">
        <f>IF(ISBLANK(A15),"",VLOOKUP(A15,gsrates!$A$3:$AK$38,VLOOKUP($B$5,gsrates!$A$41:$C$58,2,FALSE),FALSE))</f>
        <v/>
      </c>
      <c r="K15" s="79" t="str">
        <f t="shared" si="1"/>
        <v/>
      </c>
      <c r="L15" s="203" t="str">
        <f>IF(ISBLANK(A15),"",VLOOKUP(A15,gsrates!$A$3:$AK$38,VLOOKUP($B$5,gsrates!$A$41:$C$58,3,FALSE),FALSE))</f>
        <v/>
      </c>
      <c r="M15" s="203" t="str">
        <f t="shared" si="2"/>
        <v/>
      </c>
      <c r="N15" s="79" t="str">
        <f t="shared" si="3"/>
        <v/>
      </c>
      <c r="O15" s="173">
        <v>0</v>
      </c>
      <c r="P15" s="203" t="str">
        <f t="shared" si="4"/>
        <v/>
      </c>
      <c r="Q15" s="79" t="str">
        <f t="shared" si="5"/>
        <v/>
      </c>
      <c r="R15" s="151" t="str">
        <f t="shared" si="6"/>
        <v/>
      </c>
      <c r="S15" s="162" t="str">
        <f t="shared" si="7"/>
        <v/>
      </c>
      <c r="T15" s="361" t="str">
        <f>IF(ISBLANK(A15),"",VLOOKUP(A15,gsrates!$A$3:$AL$38,38,FALSE))</f>
        <v/>
      </c>
      <c r="V15" s="367">
        <f t="shared" si="9"/>
        <v>0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IF(ISBLANK(A16),"",VLOOKUP(A16,gsrates!$A$3:$AL$38,38,FALSE))</f>
        <v/>
      </c>
      <c r="V16" s="367">
        <f t="shared" si="9"/>
        <v>0</v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IF(ISBLANK(A17),"",VLOOKUP(A17,gsrates!$A$3:$AL$38,38,FALSE))</f>
        <v/>
      </c>
      <c r="V17" s="367">
        <f t="shared" si="9"/>
        <v>0</v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IF(ISBLANK(A18),"",VLOOKUP(A18,gsrates!$A$3:$AL$38,38,FALSE))</f>
        <v/>
      </c>
      <c r="V18" s="367">
        <f t="shared" si="9"/>
        <v>0</v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IF(ISBLANK(A19),"",VLOOKUP(A19,gsrates!$A$3:$AL$38,38,FALSE))</f>
        <v/>
      </c>
      <c r="V19" s="367">
        <f t="shared" si="9"/>
        <v>0</v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IF(ISBLANK(A20),"",VLOOKUP(A20,gsrates!$A$3:$AL$38,38,FALSE))</f>
        <v/>
      </c>
      <c r="V20" s="367">
        <f t="shared" si="9"/>
        <v>0</v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IF(ISBLANK(A21),"",VLOOKUP(A21,gsrates!$A$3:$AL$38,38,FALSE))</f>
        <v/>
      </c>
      <c r="V21" s="367">
        <f t="shared" si="9"/>
        <v>0</v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IF(ISBLANK(A22),"",VLOOKUP(A22,gsrates!$A$3:$AL$38,38,FALSE))</f>
        <v/>
      </c>
      <c r="V22" s="367">
        <f t="shared" si="9"/>
        <v>0</v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IF(ISBLANK(A23),"",VLOOKUP(A23,gsrates!$A$3:$AL$38,38,FALSE))</f>
        <v/>
      </c>
      <c r="U23" s="364" t="str">
        <f t="shared" si="8"/>
        <v/>
      </c>
      <c r="V23" s="367">
        <f t="shared" si="9"/>
        <v>0</v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IF(ISBLANK(A24),"",VLOOKUP(A24,gsrates!$A$3:$AL$38,38,FALSE))</f>
        <v/>
      </c>
      <c r="U24" s="364" t="str">
        <f t="shared" si="8"/>
        <v/>
      </c>
      <c r="V24" s="367">
        <f t="shared" ref="V24:V31" si="11">IF(T24=1,I24,0)</f>
        <v>0</v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IF(ISBLANK(A25),"",VLOOKUP(A25,gsrates!$A$3:$AL$38,38,FALSE))</f>
        <v/>
      </c>
      <c r="U25" s="364" t="str">
        <f t="shared" si="8"/>
        <v/>
      </c>
      <c r="V25" s="367">
        <f t="shared" si="11"/>
        <v>0</v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IF(ISBLANK(A26),"",VLOOKUP(A26,gsrates!$A$3:$AL$38,38,FALSE))</f>
        <v/>
      </c>
      <c r="U26" s="364" t="str">
        <f t="shared" si="8"/>
        <v/>
      </c>
      <c r="V26" s="367">
        <f t="shared" si="11"/>
        <v>0</v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IF(ISBLANK(A27),"",VLOOKUP(A27,gsrates!$A$3:$AL$38,38,FALSE))</f>
        <v/>
      </c>
      <c r="U27" s="364" t="str">
        <f t="shared" si="8"/>
        <v/>
      </c>
      <c r="V27" s="367">
        <f t="shared" si="11"/>
        <v>0</v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IF(ISBLANK(A28),"",VLOOKUP(A28,gsrates!$A$3:$AL$38,38,FALSE))</f>
        <v/>
      </c>
      <c r="U28" s="364" t="str">
        <f t="shared" si="8"/>
        <v/>
      </c>
      <c r="V28" s="367">
        <f t="shared" si="11"/>
        <v>0</v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IF(ISBLANK(A29),"",VLOOKUP(A29,gsrates!$A$3:$AL$38,38,FALSE))</f>
        <v/>
      </c>
      <c r="U29" s="364" t="str">
        <f t="shared" si="8"/>
        <v/>
      </c>
      <c r="V29" s="367">
        <f t="shared" si="11"/>
        <v>0</v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IF(ISBLANK(A30),"",VLOOKUP(A30,gsrates!$A$3:$AL$38,38,FALSE))</f>
        <v/>
      </c>
      <c r="U30" s="364" t="str">
        <f t="shared" si="8"/>
        <v/>
      </c>
      <c r="V30" s="367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IF(ISBLANK(A31),"",VLOOKUP(A31,gsrates!$A$3:$AL$38,38,FALSE))</f>
        <v/>
      </c>
      <c r="U31" s="364" t="str">
        <f t="shared" si="8"/>
        <v/>
      </c>
      <c r="V31" s="367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8" t="s">
        <v>11</v>
      </c>
      <c r="B32" s="458"/>
      <c r="C32" s="233"/>
      <c r="D32" s="371"/>
      <c r="E32" s="7"/>
      <c r="F32" s="7"/>
      <c r="G32" s="8"/>
      <c r="H32" s="9">
        <f>SUM(H14:H31)</f>
        <v>1.6</v>
      </c>
      <c r="I32" s="9">
        <f>SUM(I14:I31)</f>
        <v>12.8</v>
      </c>
      <c r="J32" s="31"/>
      <c r="K32" s="36">
        <f>SUM(K14:K31)</f>
        <v>3904</v>
      </c>
      <c r="L32" s="205"/>
      <c r="M32" s="205">
        <f>SUM(M14:M31)</f>
        <v>1779.2</v>
      </c>
      <c r="N32" s="36">
        <f>SUM(N14:N31)</f>
        <v>2124.8000000000002</v>
      </c>
      <c r="O32" s="33"/>
      <c r="P32" s="205">
        <f>SUM(P14:P31)</f>
        <v>6400</v>
      </c>
      <c r="Q32" s="36">
        <f>SUM(Q14:Q31)</f>
        <v>4620.8</v>
      </c>
      <c r="R32" s="15">
        <f>IF(H32=0,"",Q32/P32)</f>
        <v>0.72199999999999998</v>
      </c>
      <c r="S32" s="8">
        <f>IF(H32=0,"",1-P32/K32)</f>
        <v>-0.63934426229508201</v>
      </c>
      <c r="T32" s="362">
        <f>SUM(T14:T31)</f>
        <v>0</v>
      </c>
      <c r="V32" s="362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4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4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4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4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4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4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3"/>
      <c r="U42" s="364" t="str">
        <f t="shared" si="20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3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9">
        <f>IF(ISBLANK($B$6),0,H45*$B$9)</f>
        <v>0</v>
      </c>
      <c r="J45" s="33"/>
      <c r="K45" s="443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488</v>
      </c>
      <c r="L45" s="205"/>
      <c r="M45" s="443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222.4</v>
      </c>
      <c r="N45" s="443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265.60000000000002</v>
      </c>
      <c r="P45" s="443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800</v>
      </c>
      <c r="Q45" s="443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577.6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5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9">
        <f>IF(ISBLANK($B$6),0,H46*$B$9)</f>
        <v>0</v>
      </c>
      <c r="J46" s="33"/>
      <c r="K46" s="445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5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5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5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5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3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9">
        <f>IF(ISBLANK($B$6),0,H47*$B$9)</f>
        <v>0</v>
      </c>
      <c r="J47" s="33"/>
      <c r="K47" s="443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3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3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3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3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1.6</v>
      </c>
      <c r="I48" s="449">
        <f>IF(ISBLANK($B$6),0,H48*$B$9)</f>
        <v>12.8</v>
      </c>
      <c r="J48" s="33"/>
      <c r="K48" s="17">
        <f>K32+K43+K45+K46+K47</f>
        <v>4392</v>
      </c>
      <c r="L48" s="205"/>
      <c r="M48" s="17">
        <f>M32+M43+M45+M46+M47</f>
        <v>2001.6000000000001</v>
      </c>
      <c r="N48" s="17">
        <f>N32+N43+N45+N47+N58+N46</f>
        <v>2390.4</v>
      </c>
      <c r="P48" s="17">
        <f>P32+P43+P45+P46+P47</f>
        <v>7200</v>
      </c>
      <c r="Q48" s="17">
        <f>Q32+Q43+Q45+Q47+Q58+Q46</f>
        <v>5198.4000000000005</v>
      </c>
      <c r="R48" s="15">
        <f>IF(ISBLANK(A48),"",IF(P48&gt;0,Q48/P48,0))</f>
        <v>0.72200000000000009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1.6</v>
      </c>
      <c r="I59" s="9">
        <f>I48+I56</f>
        <v>12.8</v>
      </c>
      <c r="J59" s="31"/>
      <c r="K59" s="36">
        <f>K48</f>
        <v>4392</v>
      </c>
      <c r="L59" s="205"/>
      <c r="M59" s="205">
        <f>M48+M58</f>
        <v>2001.6000000000001</v>
      </c>
      <c r="N59" s="36">
        <f>N48</f>
        <v>2390.4</v>
      </c>
      <c r="O59" s="33"/>
      <c r="P59" s="205">
        <f>P48+P58</f>
        <v>7200</v>
      </c>
      <c r="Q59" s="36">
        <f>Q48</f>
        <v>5198.4000000000005</v>
      </c>
      <c r="R59" s="15">
        <f>IF(ISBLANK(A59),"",IF(P59&gt;0,Q59/P59,0))</f>
        <v>0.72200000000000009</v>
      </c>
      <c r="S59" s="8">
        <f>IF(ISBLANK(A59),"",IF(K59&gt;0,1-P59/K59,1))</f>
        <v>-0.63934426229508201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7200</v>
      </c>
      <c r="Q61" s="43">
        <f>P61-M59</f>
        <v>5198.3999999999996</v>
      </c>
      <c r="R61" s="44">
        <f>IF(ISBLANK(A61),"",IF(P61&gt;0,Q61/P61,0))</f>
        <v>0.72199999999999998</v>
      </c>
      <c r="S61" s="45">
        <f>IF(ISBLANK(A61),"",IF(K59&gt;0,1-P61/K59,1))</f>
        <v>-0.63934426229508201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1.52</v>
      </c>
      <c r="I63" s="9">
        <f>I59*(1-$G$8)</f>
        <v>12.16</v>
      </c>
      <c r="J63" s="31"/>
      <c r="K63" s="36">
        <f>K59*(1-$G$8)</f>
        <v>4172.3999999999996</v>
      </c>
      <c r="L63" s="205"/>
      <c r="M63" s="205">
        <f>M59*(1-$G$8)</f>
        <v>1901.52</v>
      </c>
      <c r="N63" s="36">
        <f>N59*(1-$G$8)</f>
        <v>2270.88</v>
      </c>
      <c r="O63" s="49"/>
      <c r="P63" s="205">
        <f>P59*(1-$G$8)</f>
        <v>6840</v>
      </c>
      <c r="Q63" s="36">
        <f>Q59*(1-$G$8)</f>
        <v>4938.4800000000005</v>
      </c>
      <c r="R63" s="15">
        <f>IF(ISBLANK(A63),"",IF(P63&gt;0,Q63/P63,0))</f>
        <v>0.72200000000000009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1.92</v>
      </c>
      <c r="I64" s="9">
        <f>I59*(1+$G$9)</f>
        <v>15.36</v>
      </c>
      <c r="J64" s="31"/>
      <c r="K64" s="36">
        <f>K59*(1+$G$9)</f>
        <v>5270.4</v>
      </c>
      <c r="L64" s="205"/>
      <c r="M64" s="205">
        <f>M59*(1+$G$9)</f>
        <v>2401.92</v>
      </c>
      <c r="N64" s="36">
        <f>N59*(1+$G$9)</f>
        <v>2868.48</v>
      </c>
      <c r="O64" s="49"/>
      <c r="P64" s="205">
        <f>P59*(1+$G$9)</f>
        <v>8640</v>
      </c>
      <c r="Q64" s="36">
        <f>Q59*(1+$G$9)</f>
        <v>6238.0800000000008</v>
      </c>
      <c r="R64" s="15">
        <f>IF(ISBLANK(A64),"",IF(P64&gt;0,Q64/P64,0))</f>
        <v>0.72200000000000009</v>
      </c>
      <c r="S64" s="8"/>
    </row>
    <row r="65" spans="8:22" x14ac:dyDescent="0.2">
      <c r="J65" s="31"/>
    </row>
    <row r="67" spans="8:22" x14ac:dyDescent="0.2">
      <c r="H67" s="378">
        <f>IF(Summary!$B$15="PROJECT",IF($B$4="Fixed Price",$H$97*(H32+H43),$I$97*(H32+H43)),IF($B$4="Fixed Price",$H$100*(H32+H43),$I$100*(H32+H43)))</f>
        <v>0</v>
      </c>
    </row>
    <row r="68" spans="8:22" x14ac:dyDescent="0.2">
      <c r="H68" s="422"/>
      <c r="I68" s="219"/>
      <c r="J68" s="126"/>
      <c r="K68" s="126"/>
      <c r="L68" s="379"/>
      <c r="M68" s="379"/>
      <c r="N68" s="126"/>
      <c r="O68" s="33"/>
      <c r="P68" s="379"/>
      <c r="Q68" s="126"/>
      <c r="R68" s="126"/>
      <c r="S68" s="126"/>
      <c r="T68" s="380"/>
      <c r="U68" s="381"/>
      <c r="V68" s="382"/>
    </row>
    <row r="69" spans="8:22" x14ac:dyDescent="0.2">
      <c r="H69" s="422"/>
      <c r="I69" s="219"/>
      <c r="J69" s="126"/>
      <c r="K69" s="126"/>
      <c r="L69" s="379"/>
      <c r="M69" s="379"/>
      <c r="N69" s="126"/>
      <c r="O69" s="33"/>
      <c r="P69" s="379"/>
      <c r="Q69" s="126"/>
      <c r="R69" s="126"/>
      <c r="S69" s="126"/>
      <c r="T69" s="380"/>
      <c r="U69" s="381"/>
      <c r="V69" s="382"/>
    </row>
    <row r="70" spans="8:22" x14ac:dyDescent="0.2">
      <c r="H70" s="422"/>
      <c r="I70" s="219"/>
      <c r="J70" s="126"/>
      <c r="K70" s="126"/>
      <c r="L70" s="379"/>
      <c r="M70" s="379"/>
      <c r="N70" s="126"/>
      <c r="O70" s="33"/>
      <c r="P70" s="379"/>
      <c r="Q70" s="126"/>
      <c r="R70" s="126"/>
      <c r="S70" s="126"/>
      <c r="T70" s="380"/>
      <c r="U70" s="381"/>
      <c r="V70" s="382"/>
    </row>
    <row r="71" spans="8:22" x14ac:dyDescent="0.2">
      <c r="H71" s="446"/>
      <c r="I71" s="219"/>
      <c r="J71" s="126"/>
      <c r="K71" s="126"/>
      <c r="L71" s="379"/>
      <c r="M71" s="379"/>
      <c r="N71" s="126"/>
      <c r="O71" s="33"/>
      <c r="P71" s="379"/>
      <c r="Q71" s="126"/>
      <c r="R71" s="126"/>
      <c r="S71" s="126"/>
      <c r="T71" s="380"/>
      <c r="U71" s="381"/>
      <c r="V71" s="382"/>
    </row>
    <row r="72" spans="8:22" x14ac:dyDescent="0.2">
      <c r="H72" s="422"/>
      <c r="I72" s="219"/>
      <c r="J72" s="126"/>
      <c r="K72" s="126"/>
      <c r="L72" s="379"/>
      <c r="M72" s="379"/>
      <c r="N72" s="126"/>
      <c r="O72" s="33"/>
      <c r="P72" s="379"/>
      <c r="Q72" s="126"/>
      <c r="R72" s="126"/>
      <c r="S72" s="126"/>
      <c r="T72" s="380"/>
      <c r="U72" s="381"/>
      <c r="V72" s="382"/>
    </row>
    <row r="73" spans="8:22" x14ac:dyDescent="0.2">
      <c r="H73" s="422"/>
      <c r="I73" s="219"/>
      <c r="J73" s="126"/>
      <c r="K73" s="126"/>
      <c r="L73" s="379"/>
      <c r="M73" s="379"/>
      <c r="N73" s="126"/>
      <c r="O73" s="33"/>
      <c r="P73" s="379"/>
      <c r="Q73" s="126"/>
      <c r="R73" s="126"/>
      <c r="S73" s="126"/>
      <c r="T73" s="380"/>
      <c r="U73" s="381"/>
      <c r="V73" s="382"/>
    </row>
    <row r="74" spans="8:22" x14ac:dyDescent="0.2">
      <c r="H74" s="447"/>
      <c r="I74" s="219"/>
      <c r="J74" s="126"/>
      <c r="K74" s="126"/>
      <c r="L74" s="379"/>
      <c r="M74" s="379"/>
      <c r="N74" s="126"/>
      <c r="O74" s="33"/>
      <c r="P74" s="379"/>
      <c r="Q74" s="126"/>
      <c r="R74" s="126"/>
      <c r="S74" s="126"/>
      <c r="T74" s="380"/>
      <c r="U74" s="381"/>
      <c r="V74" s="382"/>
    </row>
    <row r="75" spans="8:22" x14ac:dyDescent="0.2">
      <c r="H75" s="444"/>
      <c r="I75" s="219"/>
      <c r="J75" s="126"/>
      <c r="K75" s="126"/>
      <c r="L75" s="379"/>
      <c r="M75" s="379"/>
      <c r="N75" s="126"/>
      <c r="O75" s="33"/>
      <c r="P75" s="379"/>
      <c r="Q75" s="126"/>
      <c r="R75" s="126"/>
      <c r="S75" s="126"/>
      <c r="T75" s="380"/>
      <c r="U75" s="381"/>
      <c r="V75" s="382"/>
    </row>
    <row r="76" spans="8:22" x14ac:dyDescent="0.2">
      <c r="H76" s="126"/>
      <c r="I76" s="219"/>
      <c r="J76" s="126"/>
      <c r="K76" s="126"/>
      <c r="L76" s="379"/>
      <c r="M76" s="379"/>
      <c r="N76" s="126"/>
      <c r="O76" s="33"/>
      <c r="P76" s="379"/>
      <c r="Q76" s="126"/>
      <c r="R76" s="126"/>
      <c r="S76" s="126"/>
      <c r="T76" s="380"/>
      <c r="U76" s="381"/>
      <c r="V76" s="382"/>
    </row>
    <row r="77" spans="8:22" x14ac:dyDescent="0.2">
      <c r="H77" s="447"/>
      <c r="I77" s="219"/>
      <c r="J77" s="126"/>
      <c r="K77" s="126"/>
      <c r="L77" s="379"/>
      <c r="M77" s="379"/>
      <c r="N77" s="126"/>
      <c r="O77" s="33"/>
      <c r="P77" s="379"/>
      <c r="Q77" s="126"/>
      <c r="R77" s="126"/>
      <c r="S77" s="126"/>
      <c r="T77" s="380"/>
      <c r="U77" s="381"/>
      <c r="V77" s="382"/>
    </row>
    <row r="78" spans="8:22" x14ac:dyDescent="0.2">
      <c r="H78" s="422"/>
      <c r="I78" s="219"/>
      <c r="J78" s="126"/>
      <c r="K78" s="126"/>
      <c r="L78" s="379"/>
      <c r="M78" s="379"/>
      <c r="N78" s="126"/>
      <c r="O78" s="33"/>
      <c r="P78" s="379"/>
      <c r="Q78" s="126"/>
      <c r="R78" s="126"/>
      <c r="S78" s="126"/>
      <c r="T78" s="380"/>
      <c r="U78" s="381"/>
      <c r="V78" s="382"/>
    </row>
    <row r="79" spans="8:22" x14ac:dyDescent="0.2">
      <c r="H79" s="446"/>
      <c r="I79" s="219"/>
      <c r="J79" s="126"/>
      <c r="K79" s="126"/>
      <c r="L79" s="379"/>
      <c r="M79" s="379"/>
      <c r="N79" s="126"/>
      <c r="O79" s="33"/>
      <c r="P79" s="379"/>
      <c r="Q79" s="126"/>
      <c r="R79" s="126"/>
      <c r="S79" s="126"/>
      <c r="T79" s="380"/>
      <c r="U79" s="381"/>
      <c r="V79" s="382"/>
    </row>
    <row r="80" spans="8:22" x14ac:dyDescent="0.2">
      <c r="H80" s="446"/>
      <c r="I80" s="219"/>
      <c r="J80" s="126"/>
      <c r="K80" s="126"/>
      <c r="L80" s="379"/>
      <c r="M80" s="379"/>
      <c r="N80" s="126"/>
      <c r="O80" s="33"/>
      <c r="P80" s="379"/>
      <c r="Q80" s="126"/>
      <c r="R80" s="126"/>
      <c r="S80" s="126"/>
      <c r="T80" s="380"/>
      <c r="U80" s="381"/>
      <c r="V80" s="382"/>
    </row>
    <row r="81" spans="7:22" x14ac:dyDescent="0.2">
      <c r="H81" s="126"/>
      <c r="I81" s="219"/>
      <c r="J81" s="126"/>
      <c r="K81" s="126"/>
      <c r="L81" s="379"/>
      <c r="M81" s="379"/>
      <c r="N81" s="126"/>
      <c r="O81" s="33"/>
      <c r="P81" s="379"/>
      <c r="Q81" s="126"/>
      <c r="R81" s="126"/>
      <c r="S81" s="126"/>
      <c r="T81" s="380"/>
      <c r="U81" s="381"/>
      <c r="V81" s="382"/>
    </row>
    <row r="82" spans="7:22" x14ac:dyDescent="0.2">
      <c r="G82" s="2" t="s">
        <v>257</v>
      </c>
      <c r="H82" s="422"/>
      <c r="I82" s="219"/>
      <c r="J82" s="126"/>
      <c r="K82" s="126"/>
      <c r="L82" s="379"/>
      <c r="M82" s="379"/>
      <c r="N82" s="126"/>
      <c r="O82" s="33"/>
      <c r="P82" s="379"/>
      <c r="Q82" s="126"/>
      <c r="R82" s="126"/>
      <c r="S82" s="126"/>
      <c r="T82" s="380"/>
      <c r="U82" s="381"/>
      <c r="V82" s="382"/>
    </row>
    <row r="83" spans="7:22" x14ac:dyDescent="0.2">
      <c r="G83" s="2" t="s">
        <v>258</v>
      </c>
      <c r="H83" s="422"/>
      <c r="I83" s="219"/>
      <c r="J83" s="126"/>
      <c r="K83" s="126"/>
      <c r="L83" s="379"/>
      <c r="M83" s="379"/>
      <c r="N83" s="126"/>
      <c r="O83" s="33"/>
      <c r="P83" s="379"/>
      <c r="Q83" s="126"/>
      <c r="R83" s="126"/>
      <c r="S83" s="126"/>
      <c r="T83" s="380"/>
      <c r="U83" s="381"/>
      <c r="V83" s="382"/>
    </row>
    <row r="84" spans="7:22" x14ac:dyDescent="0.2">
      <c r="G84" s="2" t="s">
        <v>259</v>
      </c>
      <c r="H84" s="422"/>
      <c r="I84" s="219"/>
      <c r="J84" s="126"/>
      <c r="K84" s="126"/>
      <c r="L84" s="379"/>
      <c r="M84" s="379"/>
      <c r="N84" s="126"/>
      <c r="O84" s="33"/>
      <c r="P84" s="379"/>
      <c r="Q84" s="126"/>
      <c r="R84" s="126"/>
      <c r="S84" s="126"/>
      <c r="T84" s="380"/>
      <c r="U84" s="381"/>
      <c r="V84" s="382"/>
    </row>
    <row r="85" spans="7:22" x14ac:dyDescent="0.2">
      <c r="H85" s="126"/>
      <c r="I85" s="219"/>
      <c r="J85" s="126"/>
      <c r="K85" s="126"/>
      <c r="L85" s="379"/>
      <c r="M85" s="379"/>
      <c r="N85" s="126"/>
      <c r="O85" s="33"/>
      <c r="P85" s="379"/>
      <c r="Q85" s="126"/>
      <c r="R85" s="126"/>
      <c r="S85" s="126"/>
      <c r="T85" s="380"/>
      <c r="U85" s="381"/>
      <c r="V85" s="382"/>
    </row>
    <row r="86" spans="7:22" x14ac:dyDescent="0.2">
      <c r="H86" s="126"/>
      <c r="I86" s="219"/>
      <c r="J86" s="126"/>
      <c r="K86" s="126"/>
      <c r="L86" s="379"/>
      <c r="M86" s="379"/>
      <c r="N86" s="126"/>
      <c r="O86" s="33"/>
      <c r="P86" s="379"/>
      <c r="Q86" s="126"/>
      <c r="R86" s="126"/>
      <c r="S86" s="126"/>
      <c r="T86" s="380"/>
      <c r="U86" s="381"/>
      <c r="V86" s="382"/>
    </row>
    <row r="87" spans="7:22" x14ac:dyDescent="0.2">
      <c r="H87" s="126"/>
      <c r="I87" s="219"/>
      <c r="J87" s="126"/>
      <c r="K87" s="126"/>
      <c r="L87" s="379"/>
      <c r="M87" s="379"/>
      <c r="N87" s="126"/>
      <c r="O87" s="33"/>
      <c r="P87" s="379"/>
      <c r="Q87" s="126"/>
      <c r="R87" s="126"/>
      <c r="S87" s="126"/>
      <c r="T87" s="380"/>
      <c r="U87" s="381"/>
      <c r="V87" s="382"/>
    </row>
    <row r="88" spans="7:22" x14ac:dyDescent="0.2">
      <c r="H88" s="126"/>
      <c r="I88" s="219"/>
      <c r="J88" s="126"/>
      <c r="K88" s="126"/>
      <c r="L88" s="379"/>
      <c r="M88" s="379"/>
      <c r="N88" s="126"/>
      <c r="O88" s="33"/>
      <c r="P88" s="379"/>
      <c r="Q88" s="126"/>
      <c r="R88" s="126"/>
      <c r="S88" s="126"/>
      <c r="T88" s="380"/>
      <c r="U88" s="381"/>
      <c r="V88" s="382"/>
    </row>
    <row r="89" spans="7:22" x14ac:dyDescent="0.2">
      <c r="H89" s="422"/>
      <c r="I89" s="219"/>
      <c r="J89" s="126"/>
      <c r="K89" s="126"/>
      <c r="L89" s="379"/>
      <c r="M89" s="379"/>
      <c r="N89" s="126"/>
      <c r="O89" s="33"/>
      <c r="P89" s="379"/>
      <c r="Q89" s="126"/>
      <c r="R89" s="126"/>
      <c r="S89" s="126"/>
      <c r="T89" s="380"/>
      <c r="U89" s="381"/>
      <c r="V89" s="382"/>
    </row>
    <row r="90" spans="7:22" x14ac:dyDescent="0.2">
      <c r="H90" s="422"/>
      <c r="I90" s="219"/>
      <c r="J90" s="126"/>
      <c r="K90" s="126"/>
      <c r="L90" s="379"/>
      <c r="M90" s="379"/>
      <c r="N90" s="126"/>
      <c r="O90" s="33"/>
      <c r="P90" s="379"/>
      <c r="Q90" s="126"/>
      <c r="R90" s="126"/>
      <c r="S90" s="126"/>
      <c r="T90" s="380"/>
      <c r="U90" s="381"/>
      <c r="V90" s="382"/>
    </row>
    <row r="91" spans="7:22" x14ac:dyDescent="0.2">
      <c r="H91" s="422"/>
      <c r="I91" s="219"/>
      <c r="J91" s="126"/>
      <c r="K91" s="126"/>
      <c r="L91" s="379"/>
      <c r="M91" s="379"/>
      <c r="N91" s="126"/>
      <c r="O91" s="33"/>
      <c r="P91" s="379"/>
      <c r="Q91" s="126"/>
      <c r="R91" s="126"/>
      <c r="S91" s="126"/>
      <c r="T91" s="380"/>
      <c r="U91" s="381"/>
      <c r="V91" s="382"/>
    </row>
    <row r="92" spans="7:22" x14ac:dyDescent="0.2">
      <c r="H92" s="422"/>
      <c r="I92" s="219"/>
      <c r="J92" s="126"/>
      <c r="K92" s="126"/>
      <c r="L92" s="379"/>
      <c r="M92" s="379"/>
      <c r="N92" s="126"/>
      <c r="O92" s="33"/>
      <c r="P92" s="379"/>
      <c r="Q92" s="126"/>
      <c r="R92" s="126"/>
      <c r="S92" s="126"/>
      <c r="T92" s="380"/>
      <c r="U92" s="381"/>
      <c r="V92" s="382"/>
    </row>
    <row r="93" spans="7:22" x14ac:dyDescent="0.2">
      <c r="H93" s="126"/>
      <c r="I93" s="219"/>
      <c r="J93" s="126"/>
      <c r="K93" s="126"/>
      <c r="L93" s="379"/>
      <c r="M93" s="379"/>
      <c r="N93" s="126"/>
      <c r="O93" s="33"/>
      <c r="P93" s="379"/>
      <c r="Q93" s="126"/>
      <c r="R93" s="126"/>
      <c r="S93" s="126"/>
      <c r="T93" s="380"/>
      <c r="U93" s="381"/>
      <c r="V93" s="382"/>
    </row>
    <row r="94" spans="7:22" x14ac:dyDescent="0.2">
      <c r="H94" s="126"/>
      <c r="I94" s="219"/>
      <c r="J94" s="126"/>
      <c r="K94" s="126"/>
      <c r="L94" s="379"/>
      <c r="M94" s="379"/>
      <c r="N94" s="126"/>
      <c r="O94" s="33"/>
      <c r="P94" s="379"/>
      <c r="Q94" s="126"/>
      <c r="R94" s="126"/>
      <c r="S94" s="126"/>
      <c r="T94" s="380"/>
      <c r="U94" s="381"/>
      <c r="V94" s="382"/>
    </row>
    <row r="95" spans="7:22" x14ac:dyDescent="0.2">
      <c r="H95" s="448"/>
      <c r="I95" s="219"/>
      <c r="J95" s="126"/>
      <c r="K95" s="126"/>
      <c r="L95" s="379"/>
      <c r="M95" s="379"/>
      <c r="N95" s="126"/>
      <c r="O95" s="33"/>
      <c r="P95" s="379"/>
      <c r="Q95" s="126"/>
      <c r="R95" s="126"/>
      <c r="S95" s="126"/>
      <c r="T95" s="380"/>
      <c r="U95" s="381"/>
      <c r="V95" s="382"/>
    </row>
    <row r="96" spans="7:22" x14ac:dyDescent="0.2">
      <c r="H96" s="219"/>
      <c r="I96" s="219"/>
      <c r="J96" s="126"/>
      <c r="K96" s="126"/>
      <c r="L96" s="379"/>
      <c r="M96" s="379"/>
      <c r="N96" s="126"/>
      <c r="O96" s="33"/>
      <c r="P96" s="379"/>
      <c r="Q96" s="126"/>
      <c r="R96" s="126"/>
      <c r="S96" s="126"/>
      <c r="T96" s="380"/>
      <c r="U96" s="381"/>
      <c r="V96" s="382"/>
    </row>
    <row r="97" spans="8:22" x14ac:dyDescent="0.2">
      <c r="H97" s="126"/>
      <c r="I97" s="219"/>
      <c r="J97" s="126"/>
      <c r="K97" s="126"/>
      <c r="L97" s="379"/>
      <c r="M97" s="379"/>
      <c r="N97" s="126"/>
      <c r="O97" s="33"/>
      <c r="P97" s="379"/>
      <c r="Q97" s="126"/>
      <c r="R97" s="126"/>
      <c r="S97" s="126"/>
      <c r="T97" s="380"/>
      <c r="U97" s="381"/>
      <c r="V97" s="382"/>
    </row>
    <row r="98" spans="8:22" x14ac:dyDescent="0.2">
      <c r="H98" s="448"/>
      <c r="I98" s="219"/>
      <c r="J98" s="126"/>
      <c r="K98" s="126"/>
      <c r="L98" s="379"/>
      <c r="M98" s="379"/>
      <c r="N98" s="126"/>
      <c r="O98" s="33"/>
      <c r="P98" s="379"/>
      <c r="Q98" s="126"/>
      <c r="R98" s="126"/>
      <c r="S98" s="126"/>
      <c r="T98" s="380"/>
      <c r="U98" s="381"/>
      <c r="V98" s="382"/>
    </row>
    <row r="99" spans="8:22" x14ac:dyDescent="0.2">
      <c r="H99" s="219"/>
      <c r="I99" s="219"/>
      <c r="J99" s="126"/>
      <c r="K99" s="126"/>
      <c r="L99" s="379"/>
      <c r="M99" s="379"/>
      <c r="N99" s="126"/>
      <c r="O99" s="33"/>
      <c r="P99" s="379"/>
      <c r="Q99" s="126"/>
      <c r="R99" s="126"/>
      <c r="S99" s="126"/>
      <c r="T99" s="380"/>
      <c r="U99" s="381"/>
      <c r="V99" s="382"/>
    </row>
    <row r="100" spans="8:22" x14ac:dyDescent="0.2">
      <c r="H100" s="126"/>
      <c r="I100" s="219"/>
      <c r="J100" s="126"/>
      <c r="K100" s="126"/>
      <c r="L100" s="379"/>
      <c r="M100" s="379"/>
      <c r="N100" s="126"/>
      <c r="O100" s="33"/>
      <c r="P100" s="379"/>
      <c r="Q100" s="126"/>
      <c r="R100" s="126"/>
      <c r="S100" s="126"/>
      <c r="T100" s="380"/>
      <c r="U100" s="381"/>
      <c r="V100" s="382"/>
    </row>
    <row r="101" spans="8:22" x14ac:dyDescent="0.2">
      <c r="H101" s="448"/>
      <c r="I101" s="219"/>
      <c r="J101" s="126"/>
      <c r="K101" s="126"/>
      <c r="L101" s="379"/>
      <c r="M101" s="379"/>
      <c r="N101" s="126"/>
      <c r="O101" s="33"/>
      <c r="P101" s="379"/>
      <c r="Q101" s="126"/>
      <c r="R101" s="126"/>
      <c r="S101" s="126"/>
      <c r="T101" s="380"/>
      <c r="U101" s="381"/>
      <c r="V101" s="382"/>
    </row>
    <row r="102" spans="8:22" x14ac:dyDescent="0.2">
      <c r="H102" s="219"/>
      <c r="I102" s="219"/>
      <c r="J102" s="126"/>
      <c r="K102" s="126"/>
      <c r="L102" s="379"/>
      <c r="M102" s="379"/>
      <c r="N102" s="126"/>
      <c r="O102" s="33"/>
      <c r="P102" s="379"/>
      <c r="Q102" s="126"/>
      <c r="R102" s="126"/>
      <c r="S102" s="126"/>
      <c r="T102" s="380"/>
      <c r="U102" s="381"/>
      <c r="V102" s="382"/>
    </row>
    <row r="103" spans="8:22" x14ac:dyDescent="0.2">
      <c r="H103" s="126"/>
      <c r="I103" s="219"/>
      <c r="J103" s="126"/>
      <c r="K103" s="126"/>
      <c r="L103" s="379"/>
      <c r="M103" s="379"/>
      <c r="N103" s="126"/>
      <c r="O103" s="33"/>
      <c r="P103" s="379"/>
      <c r="Q103" s="126"/>
      <c r="R103" s="126"/>
      <c r="S103" s="126"/>
      <c r="T103" s="380"/>
      <c r="U103" s="381"/>
      <c r="V103" s="382"/>
    </row>
    <row r="104" spans="8:22" x14ac:dyDescent="0.2">
      <c r="H104" s="126"/>
      <c r="I104" s="219"/>
      <c r="J104" s="126"/>
      <c r="K104" s="126"/>
      <c r="L104" s="379"/>
      <c r="M104" s="379"/>
      <c r="N104" s="126"/>
      <c r="O104" s="33"/>
      <c r="P104" s="379"/>
      <c r="Q104" s="126"/>
      <c r="R104" s="126"/>
      <c r="S104" s="126"/>
      <c r="T104" s="380"/>
      <c r="U104" s="381"/>
      <c r="V104" s="382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I1" sqref="I1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3-6_eng2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9" t="s">
        <v>174</v>
      </c>
      <c r="F3" s="459"/>
      <c r="G3" s="459"/>
      <c r="H3" s="459"/>
      <c r="I3" s="459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8" t="s">
        <v>11</v>
      </c>
      <c r="B48" s="458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0" t="s">
        <v>132</v>
      </c>
      <c r="C1" s="460"/>
      <c r="D1" s="461" t="s">
        <v>169</v>
      </c>
      <c r="E1" s="462"/>
      <c r="F1" s="465" t="s">
        <v>170</v>
      </c>
      <c r="G1" s="464"/>
      <c r="H1" s="467" t="s">
        <v>175</v>
      </c>
      <c r="I1" s="463"/>
      <c r="J1" s="466" t="s">
        <v>172</v>
      </c>
      <c r="K1" s="460"/>
      <c r="L1" s="463" t="s">
        <v>146</v>
      </c>
      <c r="M1" s="463"/>
      <c r="N1" s="461" t="s">
        <v>196</v>
      </c>
      <c r="O1" s="462"/>
      <c r="P1" s="464" t="s">
        <v>147</v>
      </c>
      <c r="Q1" s="464"/>
      <c r="R1" s="460" t="s">
        <v>148</v>
      </c>
      <c r="S1" s="460"/>
      <c r="T1" s="467" t="s">
        <v>198</v>
      </c>
      <c r="U1" s="463"/>
      <c r="V1" s="466" t="s">
        <v>197</v>
      </c>
      <c r="W1" s="460"/>
      <c r="X1" s="461" t="s">
        <v>151</v>
      </c>
      <c r="Y1" s="462"/>
      <c r="Z1" s="461" t="s">
        <v>247</v>
      </c>
      <c r="AA1" s="462"/>
      <c r="AB1" s="467" t="s">
        <v>176</v>
      </c>
      <c r="AC1" s="463"/>
      <c r="AD1" s="466" t="s">
        <v>195</v>
      </c>
      <c r="AE1" s="460"/>
      <c r="AF1" s="463" t="s">
        <v>149</v>
      </c>
      <c r="AG1" s="463"/>
      <c r="AH1" s="464" t="s">
        <v>150</v>
      </c>
      <c r="AI1" s="464"/>
      <c r="AJ1" s="466" t="s">
        <v>156</v>
      </c>
      <c r="AK1" s="460"/>
      <c r="AL1" s="468"/>
      <c r="AM1" s="469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8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2">
        <v>290</v>
      </c>
      <c r="AA3" s="372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2">
        <v>232</v>
      </c>
      <c r="AA4" s="372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2">
        <v>261</v>
      </c>
      <c r="AA5" s="372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2">
        <v>261</v>
      </c>
      <c r="AA6" s="372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2">
        <v>261</v>
      </c>
      <c r="AA7" s="372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2">
        <v>261</v>
      </c>
      <c r="AA8" s="372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2">
        <v>203</v>
      </c>
      <c r="AA9" s="372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2">
        <v>203</v>
      </c>
      <c r="AA10" s="372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2">
        <v>174</v>
      </c>
      <c r="AA11" s="372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2">
        <v>232</v>
      </c>
      <c r="AA12" s="372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2">
        <v>261</v>
      </c>
      <c r="AA13" s="372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2">
        <v>232</v>
      </c>
      <c r="AA14" s="372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2">
        <v>203</v>
      </c>
      <c r="AA15" s="372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2">
        <v>174</v>
      </c>
      <c r="AA16" s="372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2">
        <v>232</v>
      </c>
      <c r="AA17" s="372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2">
        <v>261</v>
      </c>
      <c r="AA18" s="372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2">
        <v>232</v>
      </c>
      <c r="AA19" s="372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9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2">
        <v>232</v>
      </c>
      <c r="AA20" s="372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9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2">
        <v>232</v>
      </c>
      <c r="AA21" s="372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9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2">
        <v>232</v>
      </c>
      <c r="AA22" s="372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9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2">
        <v>232</v>
      </c>
      <c r="AA23" s="372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9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2">
        <v>172</v>
      </c>
      <c r="AA24" s="372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2">
        <v>128</v>
      </c>
      <c r="AA25" s="372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2">
        <v>92</v>
      </c>
      <c r="AA26" s="372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2">
        <v>51</v>
      </c>
      <c r="AA27" s="372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2">
        <v>130</v>
      </c>
      <c r="AA28" s="372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2">
        <v>87</v>
      </c>
      <c r="AA29" s="372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2">
        <v>65</v>
      </c>
      <c r="AA30" s="372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2">
        <v>49</v>
      </c>
      <c r="AA31" s="372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2">
        <v>93</v>
      </c>
      <c r="AA32" s="372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2">
        <v>57</v>
      </c>
      <c r="AA33" s="372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2">
        <v>78</v>
      </c>
      <c r="AA34" s="372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2">
        <v>52</v>
      </c>
      <c r="AA35" s="372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2">
        <v>42</v>
      </c>
      <c r="AA36" s="372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2">
        <v>36</v>
      </c>
      <c r="AA37" s="372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2">
        <v>78</v>
      </c>
      <c r="AA38" s="372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tabSelected="1" workbookViewId="0">
      <pane xSplit="2" ySplit="14" topLeftCell="C15" activePane="bottomRight" state="frozen"/>
      <selection activeCell="A5" sqref="A5:B10"/>
      <selection pane="topRight" activeCell="A5" sqref="A5:B10"/>
      <selection pane="bottomLeft" activeCell="A5" sqref="A5:B10"/>
      <selection pane="bottomRight" activeCell="H22" sqref="H22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3-6_eng2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43498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v>43500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">
        <v>265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210</v>
      </c>
      <c r="B15" s="156"/>
      <c r="C15" s="86"/>
      <c r="D15" s="373">
        <v>1</v>
      </c>
      <c r="E15" s="157">
        <v>43498</v>
      </c>
      <c r="F15" s="157">
        <v>43500</v>
      </c>
      <c r="G15" s="158">
        <v>0.7</v>
      </c>
      <c r="H15" s="159">
        <v>500</v>
      </c>
      <c r="I15" s="160">
        <f t="shared" ref="I15:I31" si="0">IF(ISBLANK(A15),"",H15*$B$10)</f>
        <v>4000</v>
      </c>
      <c r="J15" s="172">
        <f>IF(ISBLANK(A15),"",VLOOKUP(A15,gsrates!$A$3:$AK$38,VLOOKUP($B$6,gsrates!$A$41:$C$58,2,FALSE),FALSE))</f>
        <v>305</v>
      </c>
      <c r="K15" s="79">
        <f t="shared" ref="K15:K31" si="1">IF(ISBLANK(A15),"",I15*J15)</f>
        <v>1220000</v>
      </c>
      <c r="L15" s="203">
        <f>IF(ISBLANK(A15),"",VLOOKUP(A15,gsrates!$A$3:$AK$38,VLOOKUP($B$6,gsrates!$A$41:$C$58,3,FALSE),FALSE))</f>
        <v>139</v>
      </c>
      <c r="M15" s="203">
        <f t="shared" ref="M15:M31" si="2">IF(ISBLANK(A15),"",L15*H15*8)</f>
        <v>556000</v>
      </c>
      <c r="N15" s="79">
        <f t="shared" ref="N15:N31" si="3">IF(ISBLANK(A15),"",K15-M15)</f>
        <v>664000</v>
      </c>
      <c r="O15" s="173">
        <v>500</v>
      </c>
      <c r="P15" s="203">
        <v>120000</v>
      </c>
      <c r="Q15" s="79">
        <f t="shared" ref="Q15:Q31" si="4">IF(ISBLANK(A15),"",P15-M15)</f>
        <v>-436000</v>
      </c>
      <c r="R15" s="151">
        <f t="shared" ref="R15:R31" si="5">IF(ISBLANK(A15),"",Q15/P15)</f>
        <v>-3.6333333333333333</v>
      </c>
      <c r="S15" s="162">
        <f t="shared" ref="S15:S31" si="6">IF(ISBLANK(A15),"",1-P15/K15)</f>
        <v>0.90163934426229508</v>
      </c>
      <c r="T15" s="41"/>
      <c r="U15" s="41" t="str">
        <f t="shared" ref="U15:U31" si="7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/>
      <c r="I16" s="160"/>
      <c r="J16" s="172"/>
      <c r="K16" s="79"/>
      <c r="L16" s="203"/>
      <c r="M16" s="203"/>
      <c r="N16" s="79"/>
      <c r="O16" s="173"/>
      <c r="P16" s="203"/>
      <c r="Q16" s="79"/>
      <c r="R16" s="151"/>
      <c r="S16" s="162"/>
      <c r="T16" s="41"/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1" si="8">IF(ISBLANK(A17),"",NETWORKDAYS(E17,F17)*G17)</f>
        <v/>
      </c>
      <c r="I17" s="160" t="str">
        <f t="shared" si="0"/>
        <v/>
      </c>
      <c r="J17" s="172" t="str">
        <f>IF(ISBLANK(A17),"",VLOOKUP(A17,gsrates!$A$3:$AK$38,VLOOKUP($B$6,gsrates!$A$41:$C$58,2,FALSE),FALSE))</f>
        <v/>
      </c>
      <c r="K17" s="79" t="str">
        <f t="shared" si="1"/>
        <v/>
      </c>
      <c r="L17" s="203" t="str">
        <f>IF(ISBLANK(A17),"",VLOOKUP(A17,gsrates!$A$3:$AK$38,VLOOKUP($B$6,gsrates!$A$41:$C$58,3,FALSE),FALSE))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ref="P17:P31" si="9">IF(ISBLANK(A17),"",H17*O17*$B$10)</f>
        <v/>
      </c>
      <c r="Q17" s="79" t="str">
        <f t="shared" si="4"/>
        <v/>
      </c>
      <c r="R17" s="151" t="str">
        <f t="shared" si="5"/>
        <v/>
      </c>
      <c r="S17" s="162" t="str">
        <f t="shared" si="6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8"/>
        <v/>
      </c>
      <c r="I18" s="160" t="str">
        <f t="shared" si="0"/>
        <v/>
      </c>
      <c r="J18" s="172" t="str">
        <f>IF(ISBLANK(A18),"",VLOOKUP(A18,gsrates!$A$3:$AK$38,VLOOKUP($B$6,gsrates!$A$41:$C$58,2,FALSE),FALSE))</f>
        <v/>
      </c>
      <c r="K18" s="79" t="str">
        <f t="shared" si="1"/>
        <v/>
      </c>
      <c r="L18" s="203" t="str">
        <f>IF(ISBLANK(A18),"",VLOOKUP(A18,gsrates!$A$3:$AK$38,VLOOKUP($B$6,gsrates!$A$41:$C$58,3,FALSE),FALSE))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9"/>
        <v/>
      </c>
      <c r="Q18" s="79" t="str">
        <f t="shared" si="4"/>
        <v/>
      </c>
      <c r="R18" s="151" t="str">
        <f t="shared" si="5"/>
        <v/>
      </c>
      <c r="S18" s="162" t="str">
        <f t="shared" si="6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8"/>
        <v/>
      </c>
      <c r="I19" s="160" t="str">
        <f t="shared" si="0"/>
        <v/>
      </c>
      <c r="J19" s="172" t="str">
        <f>IF(ISBLANK(A19),"",VLOOKUP(A19,gsrates!$A$3:$AK$38,VLOOKUP($B$6,gsrates!$A$41:$C$58,2,FALSE),FALSE))</f>
        <v/>
      </c>
      <c r="K19" s="79" t="str">
        <f t="shared" si="1"/>
        <v/>
      </c>
      <c r="L19" s="203" t="str">
        <f>IF(ISBLANK(A19),"",VLOOKUP(A19,gsrates!$A$3:$AK$38,VLOOKUP($B$6,gsrates!$A$41:$C$58,3,FALSE),FALSE))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9"/>
        <v/>
      </c>
      <c r="Q19" s="79" t="str">
        <f t="shared" si="4"/>
        <v/>
      </c>
      <c r="R19" s="151" t="str">
        <f t="shared" si="5"/>
        <v/>
      </c>
      <c r="S19" s="162" t="str">
        <f t="shared" si="6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8"/>
        <v/>
      </c>
      <c r="I20" s="160" t="str">
        <f t="shared" si="0"/>
        <v/>
      </c>
      <c r="J20" s="172" t="str">
        <f>IF(ISBLANK(A20),"",VLOOKUP(A20,gsrates!$A$3:$AK$38,VLOOKUP($B$6,gsrates!$A$41:$C$58,2,FALSE),FALSE))</f>
        <v/>
      </c>
      <c r="K20" s="79" t="str">
        <f t="shared" si="1"/>
        <v/>
      </c>
      <c r="L20" s="203" t="str">
        <f>IF(ISBLANK(A20),"",VLOOKUP(A20,gsrates!$A$3:$AK$38,VLOOKUP($B$6,gsrates!$A$41:$C$58,3,FALSE),FALSE))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9"/>
        <v/>
      </c>
      <c r="Q20" s="79" t="str">
        <f t="shared" si="4"/>
        <v/>
      </c>
      <c r="R20" s="151" t="str">
        <f t="shared" si="5"/>
        <v/>
      </c>
      <c r="S20" s="162" t="str">
        <f t="shared" si="6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8"/>
        <v/>
      </c>
      <c r="I21" s="160" t="str">
        <f t="shared" si="0"/>
        <v/>
      </c>
      <c r="J21" s="172" t="str">
        <f>IF(ISBLANK(A21),"",VLOOKUP(A21,gsrates!$A$3:$AK$38,VLOOKUP($B$6,gsrates!$A$41:$C$58,2,FALSE),FALSE))</f>
        <v/>
      </c>
      <c r="K21" s="79" t="str">
        <f t="shared" si="1"/>
        <v/>
      </c>
      <c r="L21" s="203" t="str">
        <f>IF(ISBLANK(A21),"",VLOOKUP(A21,gsrates!$A$3:$AK$38,VLOOKUP($B$6,gsrates!$A$41:$C$58,3,FALSE),FALSE))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9"/>
        <v/>
      </c>
      <c r="Q21" s="79" t="str">
        <f t="shared" si="4"/>
        <v/>
      </c>
      <c r="R21" s="151" t="str">
        <f t="shared" si="5"/>
        <v/>
      </c>
      <c r="S21" s="162" t="str">
        <f t="shared" si="6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8"/>
        <v/>
      </c>
      <c r="I22" s="160" t="str">
        <f t="shared" si="0"/>
        <v/>
      </c>
      <c r="J22" s="172" t="str">
        <f>IF(ISBLANK(A22),"",VLOOKUP(A22,gsrates!$A$3:$AK$38,VLOOKUP($B$6,gsrates!$A$41:$C$58,2,FALSE),FALSE))</f>
        <v/>
      </c>
      <c r="K22" s="79" t="str">
        <f t="shared" si="1"/>
        <v/>
      </c>
      <c r="L22" s="203" t="str">
        <f>IF(ISBLANK(A22),"",VLOOKUP(A22,gsrates!$A$3:$AK$38,VLOOKUP($B$6,gsrates!$A$41:$C$58,3,FALSE),FALSE))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9"/>
        <v/>
      </c>
      <c r="Q22" s="79" t="str">
        <f t="shared" si="4"/>
        <v/>
      </c>
      <c r="R22" s="151" t="str">
        <f t="shared" si="5"/>
        <v/>
      </c>
      <c r="S22" s="162" t="str">
        <f t="shared" si="6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8"/>
        <v/>
      </c>
      <c r="I23" s="160" t="str">
        <f t="shared" si="0"/>
        <v/>
      </c>
      <c r="J23" s="172" t="str">
        <f>IF(ISBLANK(A23),"",VLOOKUP(A23,gsrates!$A$3:$AK$38,VLOOKUP($B$6,gsrates!$A$41:$C$58,2,FALSE),FALSE))</f>
        <v/>
      </c>
      <c r="K23" s="79" t="str">
        <f t="shared" si="1"/>
        <v/>
      </c>
      <c r="L23" s="203" t="str">
        <f>IF(ISBLANK(A23),"",VLOOKUP(A23,gsrates!$A$3:$AK$38,VLOOKUP($B$6,gsrates!$A$41:$C$58,3,FALSE),FALSE))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9"/>
        <v/>
      </c>
      <c r="Q23" s="79" t="str">
        <f t="shared" si="4"/>
        <v/>
      </c>
      <c r="R23" s="151" t="str">
        <f t="shared" si="5"/>
        <v/>
      </c>
      <c r="S23" s="162" t="str">
        <f t="shared" si="6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8"/>
        <v/>
      </c>
      <c r="I24" s="160" t="str">
        <f t="shared" si="0"/>
        <v/>
      </c>
      <c r="J24" s="172" t="str">
        <f>IF(ISBLANK(A24),"",VLOOKUP(A24,gsrates!$A$3:$AK$38,VLOOKUP($B$6,gsrates!$A$41:$C$58,2,FALSE),FALSE))</f>
        <v/>
      </c>
      <c r="K24" s="79" t="str">
        <f t="shared" si="1"/>
        <v/>
      </c>
      <c r="L24" s="203" t="str">
        <f>IF(ISBLANK(A24),"",VLOOKUP(A24,gsrates!$A$3:$AK$38,VLOOKUP($B$6,gsrates!$A$41:$C$58,3,FALSE),FALSE))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9"/>
        <v/>
      </c>
      <c r="Q24" s="79" t="str">
        <f t="shared" si="4"/>
        <v/>
      </c>
      <c r="R24" s="151" t="str">
        <f t="shared" si="5"/>
        <v/>
      </c>
      <c r="S24" s="162" t="str">
        <f t="shared" si="6"/>
        <v/>
      </c>
      <c r="T24" s="41"/>
      <c r="U24" s="41" t="str">
        <f t="shared" si="7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8"/>
        <v/>
      </c>
      <c r="I25" s="160" t="str">
        <f t="shared" si="0"/>
        <v/>
      </c>
      <c r="J25" s="172" t="str">
        <f>IF(ISBLANK(A25),"",VLOOKUP(A25,gsrates!$A$3:$AK$38,VLOOKUP($B$6,gsrates!$A$41:$C$58,2,FALSE),FALSE))</f>
        <v/>
      </c>
      <c r="K25" s="79" t="str">
        <f t="shared" si="1"/>
        <v/>
      </c>
      <c r="L25" s="203" t="str">
        <f>IF(ISBLANK(A25),"",VLOOKUP(A25,gsrates!$A$3:$AK$38,VLOOKUP($B$6,gsrates!$A$41:$C$58,3,FALSE),FALSE))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9"/>
        <v/>
      </c>
      <c r="Q25" s="79" t="str">
        <f t="shared" si="4"/>
        <v/>
      </c>
      <c r="R25" s="151" t="str">
        <f t="shared" si="5"/>
        <v/>
      </c>
      <c r="S25" s="162" t="str">
        <f t="shared" si="6"/>
        <v/>
      </c>
      <c r="T25" s="41"/>
      <c r="U25" s="41" t="str">
        <f t="shared" si="7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8"/>
        <v/>
      </c>
      <c r="I26" s="160" t="str">
        <f t="shared" si="0"/>
        <v/>
      </c>
      <c r="J26" s="172" t="str">
        <f>IF(ISBLANK(A26),"",VLOOKUP(A26,gsrates!$A$3:$AK$38,VLOOKUP($B$6,gsrates!$A$41:$C$58,2,FALSE),FALSE))</f>
        <v/>
      </c>
      <c r="K26" s="79" t="str">
        <f t="shared" si="1"/>
        <v/>
      </c>
      <c r="L26" s="203" t="str">
        <f>IF(ISBLANK(A26),"",VLOOKUP(A26,gsrates!$A$3:$AK$38,VLOOKUP($B$6,gsrates!$A$41:$C$58,3,FALSE),FALSE))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9"/>
        <v/>
      </c>
      <c r="Q26" s="79" t="str">
        <f t="shared" si="4"/>
        <v/>
      </c>
      <c r="R26" s="151" t="str">
        <f t="shared" si="5"/>
        <v/>
      </c>
      <c r="S26" s="162" t="str">
        <f t="shared" si="6"/>
        <v/>
      </c>
      <c r="T26" s="41"/>
      <c r="U26" s="41" t="str">
        <f t="shared" si="7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8"/>
        <v/>
      </c>
      <c r="I27" s="160" t="str">
        <f t="shared" si="0"/>
        <v/>
      </c>
      <c r="J27" s="172" t="str">
        <f>IF(ISBLANK(A27),"",VLOOKUP(A27,gsrates!$A$3:$AK$38,VLOOKUP($B$6,gsrates!$A$41:$C$58,2,FALSE),FALSE))</f>
        <v/>
      </c>
      <c r="K27" s="79" t="str">
        <f t="shared" si="1"/>
        <v/>
      </c>
      <c r="L27" s="203" t="str">
        <f>IF(ISBLANK(A27),"",VLOOKUP(A27,gsrates!$A$3:$AK$38,VLOOKUP($B$6,gsrates!$A$41:$C$58,3,FALSE),FALSE))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9"/>
        <v/>
      </c>
      <c r="Q27" s="79" t="str">
        <f t="shared" si="4"/>
        <v/>
      </c>
      <c r="R27" s="151" t="str">
        <f t="shared" si="5"/>
        <v/>
      </c>
      <c r="S27" s="162" t="str">
        <f t="shared" si="6"/>
        <v/>
      </c>
      <c r="T27" s="41"/>
      <c r="U27" s="41" t="str">
        <f t="shared" si="7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8"/>
        <v/>
      </c>
      <c r="I28" s="160" t="str">
        <f t="shared" si="0"/>
        <v/>
      </c>
      <c r="J28" s="172" t="str">
        <f>IF(ISBLANK(A28),"",VLOOKUP(A28,gsrates!$A$3:$AK$38,VLOOKUP($B$6,gsrates!$A$41:$C$58,2,FALSE),FALSE))</f>
        <v/>
      </c>
      <c r="K28" s="79" t="str">
        <f t="shared" si="1"/>
        <v/>
      </c>
      <c r="L28" s="203" t="str">
        <f>IF(ISBLANK(A28),"",VLOOKUP(A28,gsrates!$A$3:$AK$38,VLOOKUP($B$6,gsrates!$A$41:$C$58,3,FALSE),FALSE))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9"/>
        <v/>
      </c>
      <c r="Q28" s="79" t="str">
        <f t="shared" si="4"/>
        <v/>
      </c>
      <c r="R28" s="151" t="str">
        <f t="shared" si="5"/>
        <v/>
      </c>
      <c r="S28" s="162" t="str">
        <f t="shared" si="6"/>
        <v/>
      </c>
      <c r="T28" s="41"/>
      <c r="U28" s="41" t="str">
        <f t="shared" si="7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8"/>
        <v/>
      </c>
      <c r="I29" s="160" t="str">
        <f t="shared" si="0"/>
        <v/>
      </c>
      <c r="J29" s="172" t="str">
        <f>IF(ISBLANK(A29),"",VLOOKUP(A29,gsrates!$A$3:$AK$38,VLOOKUP($B$6,gsrates!$A$41:$C$58,2,FALSE),FALSE))</f>
        <v/>
      </c>
      <c r="K29" s="79" t="str">
        <f t="shared" si="1"/>
        <v/>
      </c>
      <c r="L29" s="203" t="str">
        <f>IF(ISBLANK(A29),"",VLOOKUP(A29,gsrates!$A$3:$AK$38,VLOOKUP($B$6,gsrates!$A$41:$C$58,3,FALSE),FALSE))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9"/>
        <v/>
      </c>
      <c r="Q29" s="79" t="str">
        <f t="shared" si="4"/>
        <v/>
      </c>
      <c r="R29" s="151" t="str">
        <f t="shared" si="5"/>
        <v/>
      </c>
      <c r="S29" s="162" t="str">
        <f t="shared" si="6"/>
        <v/>
      </c>
      <c r="T29" s="41"/>
      <c r="U29" s="41" t="str">
        <f t="shared" si="7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8"/>
        <v/>
      </c>
      <c r="I30" s="160" t="str">
        <f t="shared" si="0"/>
        <v/>
      </c>
      <c r="J30" s="172" t="str">
        <f>IF(ISBLANK(A30),"",VLOOKUP(A30,gsrates!$A$3:$AK$38,VLOOKUP($B$6,gsrates!$A$41:$C$58,2,FALSE),FALSE))</f>
        <v/>
      </c>
      <c r="K30" s="79" t="str">
        <f t="shared" si="1"/>
        <v/>
      </c>
      <c r="L30" s="203" t="str">
        <f>IF(ISBLANK(A30),"",VLOOKUP(A30,gsrates!$A$3:$AK$38,VLOOKUP($B$6,gsrates!$A$41:$C$58,3,FALSE),FALSE))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9"/>
        <v/>
      </c>
      <c r="Q30" s="79" t="str">
        <f t="shared" si="4"/>
        <v/>
      </c>
      <c r="R30" s="151" t="str">
        <f t="shared" si="5"/>
        <v/>
      </c>
      <c r="S30" s="162" t="str">
        <f t="shared" si="6"/>
        <v/>
      </c>
      <c r="T30" s="41"/>
      <c r="U30" s="41" t="str">
        <f t="shared" si="7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8"/>
        <v/>
      </c>
      <c r="I31" s="167" t="str">
        <f t="shared" si="0"/>
        <v/>
      </c>
      <c r="J31" s="174" t="str">
        <f>IF(ISBLANK(A31),"",VLOOKUP(A31,gsrates!$A$3:$AK$38,VLOOKUP($B$6,gsrates!$A$41:$C$58,2,FALSE),FALSE))</f>
        <v/>
      </c>
      <c r="K31" s="81" t="str">
        <f t="shared" si="1"/>
        <v/>
      </c>
      <c r="L31" s="204" t="str">
        <f>IF(ISBLANK(A31),"",VLOOKUP(A31,gsrates!$A$3:$AK$38,VLOOKUP($B$6,gsrates!$A$41:$C$58,3,FALSE),FALSE))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9"/>
        <v/>
      </c>
      <c r="Q31" s="81" t="str">
        <f t="shared" si="4"/>
        <v/>
      </c>
      <c r="R31" s="154" t="str">
        <f t="shared" si="5"/>
        <v/>
      </c>
      <c r="S31" s="169" t="str">
        <f t="shared" si="6"/>
        <v/>
      </c>
      <c r="T31" s="170"/>
      <c r="U31" s="41" t="str">
        <f t="shared" si="7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8" t="s">
        <v>11</v>
      </c>
      <c r="B32" s="458"/>
      <c r="C32" s="263"/>
      <c r="D32" s="450"/>
      <c r="E32" s="7"/>
      <c r="F32" s="7"/>
      <c r="G32" s="8"/>
      <c r="H32" s="9">
        <f>SUM(H15:H31)</f>
        <v>500</v>
      </c>
      <c r="I32" s="9">
        <f>SUM(I15:I31)</f>
        <v>4000</v>
      </c>
      <c r="J32" s="31"/>
      <c r="K32" s="36">
        <f>SUM(K15:K31)</f>
        <v>1220000</v>
      </c>
      <c r="L32" s="205"/>
      <c r="M32" s="205">
        <f>SUM(M15:M31)</f>
        <v>556000</v>
      </c>
      <c r="N32" s="36">
        <f>SUM(N15:N31)</f>
        <v>664000</v>
      </c>
      <c r="O32" s="33"/>
      <c r="P32" s="205">
        <f>SUM(P15:P31)</f>
        <v>120000</v>
      </c>
      <c r="Q32" s="36">
        <f>SUM(Q15:Q31)</f>
        <v>-436000</v>
      </c>
      <c r="R32" s="15">
        <f>IF(H32=0,"",Q32/P32)</f>
        <v>-3.6333333333333333</v>
      </c>
      <c r="S32" s="8">
        <f>IF(H32=0,"",1-P32/K32)</f>
        <v>0.90163934426229508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500</v>
      </c>
      <c r="I48" s="17">
        <f>I32+I43+I45+I46+I47</f>
        <v>4000</v>
      </c>
      <c r="J48" s="33"/>
      <c r="K48" s="17">
        <f>K32+K43+K45+K46+K47</f>
        <v>1220000</v>
      </c>
      <c r="L48" s="205"/>
      <c r="M48" s="17">
        <f>M32+M43+M45+M46+M47</f>
        <v>556000</v>
      </c>
      <c r="N48" s="17">
        <f>N32+N43+N45+N47+N58+N46</f>
        <v>664000</v>
      </c>
      <c r="P48" s="17">
        <f>P32+P43+P45+P46+P47</f>
        <v>120000</v>
      </c>
      <c r="Q48" s="17">
        <f>Q32+Q43+Q45+Q47+Q58+Q46</f>
        <v>-436000</v>
      </c>
      <c r="R48" s="15">
        <f>IF(ISBLANK(A48),"",IF(P48&gt;0,Q48/P48,0))</f>
        <v>-3.6333333333333333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500</v>
      </c>
      <c r="I59" s="9">
        <f>I48+I56</f>
        <v>4000</v>
      </c>
      <c r="J59" s="31"/>
      <c r="K59" s="36">
        <f>K48</f>
        <v>1220000</v>
      </c>
      <c r="L59" s="205"/>
      <c r="M59" s="205">
        <f>M48+M58</f>
        <v>556000</v>
      </c>
      <c r="N59" s="36">
        <f>N48</f>
        <v>664000</v>
      </c>
      <c r="O59" s="33"/>
      <c r="P59" s="205">
        <f>P48+P58</f>
        <v>120000</v>
      </c>
      <c r="Q59" s="36">
        <f>Q48</f>
        <v>-436000</v>
      </c>
      <c r="R59" s="15">
        <f>IF(ISBLANK(A59),"",IF(P59&gt;0,Q59/P59,0))</f>
        <v>-3.6333333333333333</v>
      </c>
      <c r="S59" s="8">
        <f>IF(ISBLANK(A59),"",IF(K59&gt;0,1-P59/K59,1))</f>
        <v>0.90163934426229508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120000</v>
      </c>
      <c r="Q61" s="43">
        <f>P61-M59</f>
        <v>-436000</v>
      </c>
      <c r="R61" s="44">
        <f>IF(ISBLANK(A61),"",IF(P61&gt;0,Q61/P61,0))</f>
        <v>-3.6333333333333333</v>
      </c>
      <c r="S61" s="45">
        <f>IF(ISBLANK(A61),"",IF(K59&gt;0,1-P61/K59,1))</f>
        <v>0.90163934426229508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475</v>
      </c>
      <c r="I63" s="9">
        <f>I59*(1-$G$9)</f>
        <v>3800</v>
      </c>
      <c r="J63" s="31"/>
      <c r="K63" s="36">
        <f>K59*(1-$G$9)</f>
        <v>1159000</v>
      </c>
      <c r="L63" s="205"/>
      <c r="M63" s="205">
        <f>M59*(1-$G$9)</f>
        <v>528200</v>
      </c>
      <c r="N63" s="36">
        <f>N59*(1-$G$9)</f>
        <v>630800</v>
      </c>
      <c r="O63" s="49"/>
      <c r="P63" s="205">
        <f>P59*(1-$G$9)</f>
        <v>114000</v>
      </c>
      <c r="Q63" s="36">
        <f>Q59*(1-$G$9)</f>
        <v>-414200</v>
      </c>
      <c r="R63" s="15">
        <f>IF(ISBLANK(A63),"",IF(P63&gt;0,Q63/P63,0))</f>
        <v>-3.6333333333333333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600</v>
      </c>
      <c r="I64" s="9">
        <f>I59*(1+$G$10)</f>
        <v>4800</v>
      </c>
      <c r="J64" s="31"/>
      <c r="K64" s="36">
        <f>K59*(1+$G$10)</f>
        <v>1464000</v>
      </c>
      <c r="L64" s="205"/>
      <c r="M64" s="205">
        <f>M59*(1+$G$10)</f>
        <v>667200</v>
      </c>
      <c r="N64" s="36">
        <f>N59*(1+$G$10)</f>
        <v>796800</v>
      </c>
      <c r="O64" s="49"/>
      <c r="P64" s="205">
        <f>P59*(1+$G$10)</f>
        <v>144000</v>
      </c>
      <c r="Q64" s="36">
        <f>Q59*(1+$G$10)</f>
        <v>-523200</v>
      </c>
      <c r="R64" s="15">
        <f>IF(ISBLANK(A64),"",IF(P64&gt;0,Q64/P64,0))</f>
        <v>-3.6333333333333333</v>
      </c>
      <c r="S64" s="8"/>
    </row>
    <row r="65" spans="10:10" x14ac:dyDescent="0.2">
      <c r="J65" s="31"/>
    </row>
  </sheetData>
  <sheetProtection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70" t="s">
        <v>1</v>
      </c>
      <c r="M1" s="471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2" t="s">
        <v>181</v>
      </c>
      <c r="B1" s="472"/>
      <c r="C1" s="472"/>
      <c r="D1" s="472"/>
      <c r="E1" s="472"/>
      <c r="F1" s="472"/>
      <c r="G1" s="472"/>
      <c r="H1" s="472"/>
      <c r="I1" s="472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3" t="s">
        <v>182</v>
      </c>
      <c r="M8" s="473"/>
      <c r="N8" s="473"/>
      <c r="O8" s="473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Ranjan, Sumit</cp:lastModifiedBy>
  <cp:lastPrinted>2015-07-01T11:20:10Z</cp:lastPrinted>
  <dcterms:created xsi:type="dcterms:W3CDTF">2006-01-03T13:58:19Z</dcterms:created>
  <dcterms:modified xsi:type="dcterms:W3CDTF">2018-03-28T05:01:55Z</dcterms:modified>
</cp:coreProperties>
</file>