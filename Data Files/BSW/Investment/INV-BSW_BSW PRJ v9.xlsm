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js1\git\DAUIAutomation\Data Files\BSW\Investment\"/>
    </mc:Choice>
  </mc:AlternateContent>
  <bookViews>
    <workbookView xWindow="0" yWindow="0" windowWidth="28800" windowHeight="12210" tabRatio="881" activeTab="8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1027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21" i="38"/>
  <c r="P22" i="38"/>
  <c r="P25" i="38"/>
  <c r="P26" i="38"/>
  <c r="P29" i="38"/>
  <c r="P30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20" i="38"/>
  <c r="I24" i="38"/>
  <c r="I28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8" i="38"/>
  <c r="H19" i="38"/>
  <c r="H22" i="38"/>
  <c r="H23" i="38"/>
  <c r="H26" i="38"/>
  <c r="H27" i="38"/>
  <c r="H30" i="38"/>
  <c r="I17" i="39"/>
  <c r="I17" i="38" s="1"/>
  <c r="I18" i="39"/>
  <c r="I18" i="38" s="1"/>
  <c r="I19" i="39"/>
  <c r="I19" i="38" s="1"/>
  <c r="I20" i="39"/>
  <c r="I21" i="39"/>
  <c r="I21" i="38" s="1"/>
  <c r="I22" i="39"/>
  <c r="I22" i="38" s="1"/>
  <c r="I23" i="39"/>
  <c r="I23" i="38" s="1"/>
  <c r="I24" i="39"/>
  <c r="I25" i="39"/>
  <c r="I25" i="38" s="1"/>
  <c r="I26" i="39"/>
  <c r="I26" i="38" s="1"/>
  <c r="I27" i="39"/>
  <c r="I27" i="38" s="1"/>
  <c r="I28" i="39"/>
  <c r="I29" i="39"/>
  <c r="I29" i="38" s="1"/>
  <c r="I30" i="39"/>
  <c r="I30" i="38" s="1"/>
  <c r="H16" i="39"/>
  <c r="H16" i="38" s="1"/>
  <c r="H17" i="39"/>
  <c r="H17" i="38" s="1"/>
  <c r="H18" i="39"/>
  <c r="H19" i="39"/>
  <c r="H20" i="39"/>
  <c r="H20" i="38" s="1"/>
  <c r="H21" i="39"/>
  <c r="H21" i="38" s="1"/>
  <c r="H22" i="39"/>
  <c r="H23" i="39"/>
  <c r="H24" i="39"/>
  <c r="H24" i="38" s="1"/>
  <c r="H25" i="39"/>
  <c r="H25" i="38" s="1"/>
  <c r="H26" i="39"/>
  <c r="H27" i="39"/>
  <c r="H28" i="39"/>
  <c r="H28" i="38" s="1"/>
  <c r="H29" i="39"/>
  <c r="H29" i="38" s="1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19" i="38" s="1"/>
  <c r="P20" i="39"/>
  <c r="P20" i="38" s="1"/>
  <c r="P21" i="39"/>
  <c r="P22" i="39"/>
  <c r="P23" i="39"/>
  <c r="P23" i="38" s="1"/>
  <c r="P24" i="39"/>
  <c r="P24" i="38" s="1"/>
  <c r="P25" i="39"/>
  <c r="P26" i="39"/>
  <c r="P27" i="39"/>
  <c r="P27" i="38" s="1"/>
  <c r="P28" i="39"/>
  <c r="P28" i="38" s="1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9"/>
  <c r="L16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9"/>
  <c r="J16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M16" i="39"/>
  <c r="M16" i="38" s="1"/>
  <c r="I16" i="39"/>
  <c r="I16" i="38" s="1"/>
  <c r="K16" i="39"/>
  <c r="V23" i="34"/>
  <c r="V22" i="34"/>
  <c r="V21" i="34"/>
  <c r="V20" i="34"/>
  <c r="V19" i="34"/>
  <c r="V18" i="34"/>
  <c r="V17" i="34"/>
  <c r="V15" i="34"/>
  <c r="S16" i="39" l="1"/>
  <c r="S16" i="38" s="1"/>
  <c r="Q16" i="39"/>
  <c r="Q16" i="38" s="1"/>
  <c r="K16" i="38"/>
  <c r="N16" i="39"/>
  <c r="N16" i="38" s="1"/>
  <c r="Q46" i="34"/>
  <c r="P46" i="34"/>
  <c r="N46" i="34"/>
  <c r="M46" i="34"/>
  <c r="K46" i="34"/>
  <c r="H46" i="34"/>
  <c r="I46" i="34" s="1"/>
  <c r="R16" i="39" l="1"/>
  <c r="R16" i="38" s="1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A25" i="40"/>
  <c r="A26" i="40"/>
  <c r="A27" i="40"/>
  <c r="T27" i="40" s="1"/>
  <c r="V27" i="40" s="1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8" i="40"/>
  <c r="V28" i="40" s="1"/>
  <c r="T26" i="40"/>
  <c r="V26" i="40" s="1"/>
  <c r="T25" i="40"/>
  <c r="V25" i="40" s="1"/>
  <c r="T24" i="40"/>
  <c r="V24" i="40" s="1"/>
  <c r="D16" i="14"/>
  <c r="H46" i="40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I16" i="40"/>
  <c r="V16" i="40" s="1"/>
  <c r="V32" i="40" s="1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N18" i="34"/>
  <c r="N18" i="40" s="1"/>
  <c r="Q18" i="34"/>
  <c r="O23" i="33"/>
  <c r="R18" i="34" l="1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H56" i="39" s="1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E8" i="39"/>
  <c r="E7" i="39"/>
  <c r="B6" i="39"/>
  <c r="M47" i="39"/>
  <c r="B3" i="38"/>
  <c r="B1" i="39"/>
  <c r="B1" i="38" s="1"/>
  <c r="P43" i="39" l="1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7" i="34"/>
  <c r="E6" i="34"/>
  <c r="B5" i="34"/>
  <c r="B2" i="34"/>
  <c r="B2" i="40" s="1"/>
  <c r="B1" i="34"/>
  <c r="B1" i="40" s="1"/>
  <c r="B10" i="34"/>
  <c r="N43" i="40" l="1"/>
  <c r="L16" i="34"/>
  <c r="J15" i="34"/>
  <c r="J16" i="34"/>
  <c r="L15" i="34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J15" i="40" l="1"/>
  <c r="K15" i="34"/>
  <c r="J16" i="40"/>
  <c r="K16" i="34"/>
  <c r="M16" i="34"/>
  <c r="L16" i="40"/>
  <c r="L15" i="40"/>
  <c r="M15" i="34"/>
  <c r="M14" i="34"/>
  <c r="M14" i="40" s="1"/>
  <c r="S43" i="34"/>
  <c r="S45" i="40" s="1"/>
  <c r="R43" i="34"/>
  <c r="R45" i="40" s="1"/>
  <c r="H45" i="34"/>
  <c r="I45" i="34" s="1"/>
  <c r="I45" i="40" s="1"/>
  <c r="H47" i="34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P45" i="34" s="1"/>
  <c r="K16" i="40" l="1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M47" i="34" s="1"/>
  <c r="H47" i="40"/>
  <c r="I47" i="34"/>
  <c r="M16" i="40"/>
  <c r="M32" i="40" s="1"/>
  <c r="Q16" i="34"/>
  <c r="Q14" i="34"/>
  <c r="Q14" i="40" s="1"/>
  <c r="M45" i="34"/>
  <c r="M45" i="40" s="1"/>
  <c r="P47" i="34"/>
  <c r="P47" i="40" s="1"/>
  <c r="H45" i="40"/>
  <c r="S14" i="34"/>
  <c r="S14" i="40" s="1"/>
  <c r="K14" i="40"/>
  <c r="K32" i="40" s="1"/>
  <c r="S32" i="40" s="1"/>
  <c r="M47" i="40"/>
  <c r="P45" i="40"/>
  <c r="C24" i="14"/>
  <c r="H48" i="34"/>
  <c r="I48" i="34" s="1"/>
  <c r="K32" i="34"/>
  <c r="N14" i="34"/>
  <c r="N14" i="40" s="1"/>
  <c r="G26" i="33"/>
  <c r="H26" i="33" s="1"/>
  <c r="R26" i="33" s="1"/>
  <c r="N32" i="40" l="1"/>
  <c r="R16" i="34"/>
  <c r="R16" i="40" s="1"/>
  <c r="Q16" i="40"/>
  <c r="R15" i="34"/>
  <c r="R15" i="40" s="1"/>
  <c r="Q15" i="40"/>
  <c r="R14" i="34"/>
  <c r="R14" i="40" s="1"/>
  <c r="Q32" i="34"/>
  <c r="Q45" i="34" s="1"/>
  <c r="Q45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32" i="40" l="1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G63" i="33" s="1"/>
  <c r="H63" i="33" s="1"/>
  <c r="M62" i="33"/>
  <c r="O62" i="33"/>
  <c r="O74" i="33"/>
  <c r="J62" i="33"/>
  <c r="G62" i="33"/>
  <c r="L62" i="33"/>
  <c r="A79" i="33"/>
  <c r="P62" i="33"/>
  <c r="Q48" i="34" l="1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G61" i="33"/>
  <c r="G64" i="33" s="1"/>
  <c r="G75" i="33" s="1"/>
  <c r="Q62" i="33"/>
  <c r="Q63" i="33"/>
  <c r="H62" i="33"/>
  <c r="O61" i="33" l="1"/>
  <c r="O63" i="33"/>
  <c r="Q63" i="40"/>
  <c r="R63" i="40" s="1"/>
  <c r="Q59" i="34"/>
  <c r="Q63" i="34" s="1"/>
  <c r="R63" i="34" s="1"/>
  <c r="S61" i="34"/>
  <c r="H5" i="34"/>
  <c r="S59" i="34"/>
  <c r="S61" i="40" s="1"/>
  <c r="G24" i="14"/>
  <c r="K63" i="34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Q48" i="33" s="1"/>
  <c r="M16" i="33"/>
  <c r="J48" i="33"/>
  <c r="M18" i="33"/>
  <c r="O64" i="33"/>
  <c r="H61" i="33"/>
  <c r="H64" i="33" s="1"/>
  <c r="H75" i="33" s="1"/>
  <c r="Q61" i="33"/>
  <c r="G79" i="33"/>
  <c r="G80" i="33"/>
  <c r="B10" i="33"/>
  <c r="R59" i="34" l="1"/>
  <c r="R61" i="40" s="1"/>
  <c r="Q64" i="34"/>
  <c r="R64" i="34" s="1"/>
  <c r="N64" i="34"/>
  <c r="N64" i="40"/>
  <c r="N63" i="40"/>
  <c r="L64" i="33"/>
  <c r="O75" i="33"/>
  <c r="O80" i="33" s="1"/>
  <c r="P61" i="33"/>
  <c r="P63" i="33"/>
  <c r="J61" i="33"/>
  <c r="J63" i="33"/>
  <c r="M48" i="33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<sst xmlns="http://schemas.openxmlformats.org/spreadsheetml/2006/main" count="943" uniqueCount="272">
  <si>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</si>
  <si>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</si>
  <si>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</si>
  <si>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</si>
  <si>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</si>
  <si>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</si>
  <si>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</si>
  <si>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</si>
  <si>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</si>
  <si>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</si>
  <si>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</si>
  <si>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</si>
  <si>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</si>
  <si>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</si>
  <si>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</si>
  <si>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</si>
  <si>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</si>
  <si>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</si>
  <si>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</si>
  <si>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</si>
  <si>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</si>
  <si>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</si>
  <si>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</si>
  <si>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</si>
  <si>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</si>
  <si>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</si>
  <si>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</si>
  <si>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</si>
  <si>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</si>
  <si>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</si>
  <si>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</si>
  <si>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</si>
  <si>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</si>
  <si>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</si>
  <si>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</si>
  <si>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</si>
  <si>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</si>
  <si>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</si>
  <si>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</si>
  <si>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</si>
  <si>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</si>
  <si>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</si>
  <si>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</si>
  <si>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</si>
  <si>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</si>
  <si>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</si>
  <si>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</si>
  <si>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</si>
  <si>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</si>
  <si>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</si>
  <si>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</si>
  <si>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</si>
  <si>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</si>
  <si>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</si>
  <si>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</si>
  <si>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</si>
  <si>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</si>
  <si>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</si>
  <si>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</si>
  <si>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</si>
  <si>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</si>
  <si>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</si>
  <si>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</si>
  <si>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</si>
  <si>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</si>
  <si>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</si>
  <si>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</si>
  <si>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</si>
  <si>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</si>
  <si>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</si>
  <si>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</si>
  <si>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</si>
  <si>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</si>
  <si>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</si>
  <si>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</si>
  <si>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</si>
  <si>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</si>
  <si>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</si>
  <si>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</si>
  <si>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</si>
  <si>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</si>
  <si>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</si>
  <si>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</si>
  <si>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</si>
  <si>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</si>
  <si>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</si>
  <si>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</si>
  <si>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</si>
  <si>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</si>
  <si>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</si>
  <si>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</si>
  <si>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</si>
  <si>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</si>
  <si>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</si>
  <si>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</si>
  <si>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</si>
  <si>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</si>
  <si>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</si>
  <si>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</si>
  <si>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</si>
  <si>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</si>
  <si>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</si>
  <si>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</si>
  <si>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</si>
  <si>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</si>
  <si>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</si>
  <si>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</si>
  <si>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</si>
  <si>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</si>
  <si>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</si>
  <si>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</si>
  <si>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</si>
  <si>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</si>
  <si>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</si>
  <si>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</si>
  <si>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</si>
  <si>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</si>
  <si>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</si>
  <si>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</si>
  <si>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</si>
  <si>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</si>
  <si>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</si>
  <si>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</si>
  <si>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</si>
  <si>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</si>
  <si>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</si>
  <si>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</si>
  <si>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</si>
  <si>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</si>
  <si>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</si>
  <si>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</si>
  <si>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</si>
  <si>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</si>
  <si>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</si>
  <si>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</si>
  <si>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</si>
  <si>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</si>
  <si>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</si>
  <si>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</si>
  <si>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</si>
  <si>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</si>
  <si>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</si>
  <si>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</si>
  <si>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</si>
  <si>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</si>
  <si>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</si>
  <si>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</si>
  <si>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</si>
  <si>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</si>
  <si>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</si>
  <si>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</si>
  <si>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</si>
  <si>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</si>
  <si>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</si>
  <si>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</si>
  <si>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</si>
  <si>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</si>
  <si>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</si>
  <si>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</si>
  <si>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</si>
  <si>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</si>
  <si>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</si>
  <si>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</si>
  <si>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</si>
  <si>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</si>
  <si>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</si>
  <si>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</si>
  <si>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</si>
  <si>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</si>
  <si>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</si>
  <si>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</si>
  <si>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</si>
  <si>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</si>
  <si>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</si>
  <si>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</si>
  <si>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</si>
  <si>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</si>
  <si>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</si>
  <si>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</si>
  <si>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</si>
  <si>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</si>
  <si>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</si>
  <si>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</si>
  <si>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</si>
  <si>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</si>
  <si>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</si>
  <si>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</si>
  <si>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</si>
  <si>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</si>
  <si>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</si>
  <si>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</si>
  <si>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</si>
  <si>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</si>
  <si>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</si>
  <si>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</si>
  <si>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</si>
  <si>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</si>
  <si>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</si>
  <si>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</si>
  <si>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</si>
  <si>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</si>
  <si>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</si>
  <si>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</si>
  <si>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</si>
  <si>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</si>
  <si>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</si>
  <si>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</si>
  <si>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</si>
  <si>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</si>
  <si>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</si>
  <si>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</si>
  <si>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</si>
  <si>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</si>
  <si>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</si>
  <si>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</si>
  <si>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</si>
  <si>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</si>
  <si>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</si>
  <si>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</si>
  <si>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</si>
  <si>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</si>
  <si>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</si>
  <si>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</si>
  <si>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</si>
  <si>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</si>
  <si>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</si>
  <si>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</si>
  <si>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</si>
  <si>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</si>
  <si>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</si>
  <si>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</si>
  <si>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</si>
  <si>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</si>
  <si>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</si>
  <si>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</si>
  <si>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</si>
  <si>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</si>
  <si>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</si>
  <si>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</si>
  <si>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</si>
  <si>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</si>
  <si>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</si>
  <si>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</si>
  <si>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</si>
  <si>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</si>
  <si>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</si>
  <si>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</si>
  <si>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</si>
  <si>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</si>
  <si>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</si>
  <si>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</si>
  <si>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</si>
  <si>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</si>
  <si>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</si>
  <si>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</si>
  <si>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</si>
  <si>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</si>
  <si>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</si>
  <si>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</si>
  <si>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</si>
  <si>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</si>
  <si>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</si>
  <si>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</si>
  <si>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</si>
  <si>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</si>
  <si>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BSW v9</t>
  </si>
  <si>
    <t>PEGA</t>
  </si>
  <si>
    <t>AGILE</t>
  </si>
  <si>
    <t>Quote</t>
  </si>
  <si>
    <t>Full Implementation</t>
  </si>
  <si>
    <t>ProfitCenter</t>
  </si>
  <si>
    <t>3-17-InvEng1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</si>
</sst>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workbookViewId="0">
      <selection activeCell="B7" sqref="B7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43182</v>
      </c>
      <c r="W7" s="42"/>
    </row>
    <row r="8" spans="1:23" x14ac:dyDescent="0.2">
      <c r="A8" s="2" t="s">
        <v>5</v>
      </c>
      <c r="B8" s="84">
        <f>MAX(BID!B7)</f>
        <v>43313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266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267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477684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280872.89999999997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196811.10000000003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0.4120110784535384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>Below 50% Margin</v>
      </c>
    </row>
    <row r="21" spans="1:23" ht="13.5" thickBot="1" x14ac:dyDescent="0.25">
      <c r="A21" s="368">
        <f>BID!V32</f>
        <v>595.20000000000005</v>
      </c>
      <c r="B21" s="369" t="str">
        <f>IF(B6="NA",IF(A21&gt;0,"YES"))</f>
        <v>YES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2018.3999999999999</v>
      </c>
      <c r="C24" s="79">
        <f>BID!P32+BID!P43</f>
        <v>424608</v>
      </c>
      <c r="D24" s="79">
        <f>BID!P47+BID!P46</f>
        <v>0</v>
      </c>
      <c r="E24" s="79">
        <f>BID!P45</f>
        <v>53076</v>
      </c>
      <c r="F24" s="79"/>
      <c r="G24" s="112">
        <f>BID!P61</f>
        <v>477684</v>
      </c>
      <c r="H24" s="79">
        <f>BID!K59</f>
        <v>692563.5</v>
      </c>
      <c r="I24" s="79">
        <f>BID!M59</f>
        <v>280872.89999999997</v>
      </c>
      <c r="J24" s="79">
        <f>G24-I24</f>
        <v>196811.10000000003</v>
      </c>
      <c r="K24" s="151">
        <f>IF(G24&gt;0,J24/G24,0)</f>
        <v>0.4120110784535384</v>
      </c>
      <c r="L24" s="195">
        <f>IF(B24&gt;0,G24/B24,0)</f>
        <v>236.66468489892986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2018.3999999999999</v>
      </c>
      <c r="C27" s="80">
        <f>SUM(C24:C26)</f>
        <v>424608</v>
      </c>
      <c r="D27" s="80">
        <f>SUM(D24:D26)</f>
        <v>0</v>
      </c>
      <c r="E27" s="80">
        <f>SUM(E24:E26)</f>
        <v>53076</v>
      </c>
      <c r="F27" s="80"/>
      <c r="G27" s="114">
        <f>SUM(G24:G26)</f>
        <v>477684</v>
      </c>
      <c r="H27" s="80">
        <f>SUM(H24:H26)</f>
        <v>692563.5</v>
      </c>
      <c r="I27" s="80">
        <f>SUM(I24:I26)</f>
        <v>280872.89999999997</v>
      </c>
      <c r="J27" s="81">
        <f>G27-I27</f>
        <v>196811.10000000003</v>
      </c>
      <c r="K27" s="154">
        <f>IF(G27&gt;0,J27/G27,0)</f>
        <v>0.4120110784535384</v>
      </c>
      <c r="L27" s="196">
        <f>IF(B27&gt;0,G27/B27,0)</f>
        <v>236.66468489892986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sheetProtection sheet="1" objects="1" scenarios="1"/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3-17-InvEng1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43181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43314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43181</v>
      </c>
      <c r="F15" s="304">
        <f>IF(INVESTMENT!F15="","",INVESTMENT!F15)</f>
        <v>43313</v>
      </c>
      <c r="G15" s="451">
        <f>IF(INVESTMENT!G15="","",INVESTMENT!G15)</f>
        <v>1</v>
      </c>
      <c r="H15" s="305">
        <f>INVESTMENT!H15</f>
        <v>95</v>
      </c>
      <c r="I15" s="306">
        <f>INVESTMENT!I15</f>
        <v>760</v>
      </c>
      <c r="J15" s="307">
        <f>INVESTMENT!J15</f>
        <v>330</v>
      </c>
      <c r="K15" s="308">
        <f>INVESTMENT!K15</f>
        <v>250800</v>
      </c>
      <c r="L15" s="309">
        <f>INVESTMENT!L15</f>
        <v>162</v>
      </c>
      <c r="M15" s="309">
        <f>INVESTMENT!M15</f>
        <v>123120</v>
      </c>
      <c r="N15" s="308">
        <f>INVESTMENT!N15</f>
        <v>127680</v>
      </c>
      <c r="O15" s="307">
        <f>INVESTMENT!O15</f>
        <v>300</v>
      </c>
      <c r="P15" s="309">
        <f>INVESTMENT!P15</f>
        <v>228000</v>
      </c>
      <c r="Q15" s="308">
        <f>INVESTMENT!Q15</f>
        <v>104880</v>
      </c>
      <c r="R15" s="310">
        <f>INVESTMENT!R15</f>
        <v>0.46</v>
      </c>
      <c r="S15" s="311">
        <f>INVESTMENT!S15</f>
        <v>9.0909090909090939E-2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43182</v>
      </c>
      <c r="F16" s="313">
        <f>IF(INVESTMENT!F16="","",INVESTMENT!F16)</f>
        <v>43314</v>
      </c>
      <c r="G16" s="452">
        <f>IF(INVESTMENT!G16="","",INVESTMENT!G16)</f>
        <v>1</v>
      </c>
      <c r="H16" s="315">
        <f>INVESTMENT!H16</f>
        <v>95</v>
      </c>
      <c r="I16" s="316">
        <f>INVESTMENT!I16</f>
        <v>760</v>
      </c>
      <c r="J16" s="272">
        <f>INVESTMENT!J16</f>
        <v>305</v>
      </c>
      <c r="K16" s="317">
        <f>INVESTMENT!K16</f>
        <v>231800</v>
      </c>
      <c r="L16" s="273">
        <f>INVESTMENT!L16</f>
        <v>139</v>
      </c>
      <c r="M16" s="273">
        <f>INVESTMENT!M16</f>
        <v>105640</v>
      </c>
      <c r="N16" s="317">
        <f>INVESTMENT!N16</f>
        <v>126160</v>
      </c>
      <c r="O16" s="272">
        <f>INVESTMENT!O16</f>
        <v>200</v>
      </c>
      <c r="P16" s="273">
        <f>INVESTMENT!P16</f>
        <v>152000</v>
      </c>
      <c r="Q16" s="317">
        <f>INVESTMENT!Q16</f>
        <v>46360</v>
      </c>
      <c r="R16" s="318">
        <f>INVESTMENT!R16</f>
        <v>0.30499999999999999</v>
      </c>
      <c r="S16" s="314">
        <f>INVESTMENT!S16</f>
        <v>0.34426229508196726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190</v>
      </c>
      <c r="I32" s="330">
        <f>SUM(I15:I31)</f>
        <v>1520</v>
      </c>
      <c r="J32" s="269"/>
      <c r="K32" s="331">
        <f>SUM(K15:K31)</f>
        <v>482600</v>
      </c>
      <c r="L32" s="332"/>
      <c r="M32" s="332">
        <f>SUM(M15:M31)</f>
        <v>228760</v>
      </c>
      <c r="N32" s="331">
        <f>SUM(N15:N31)</f>
        <v>253840</v>
      </c>
      <c r="P32" s="332">
        <f>SUM(P15:P31)</f>
        <v>380000</v>
      </c>
      <c r="Q32" s="331">
        <f>SUM(Q15:Q31)</f>
        <v>151240</v>
      </c>
      <c r="R32" s="333">
        <f>IF(H32=0,"",Q32/P32)</f>
        <v>0.39800000000000002</v>
      </c>
      <c r="S32" s="292">
        <f>IF(H32=0,"",1-P32/K32)</f>
        <v>0.21259842519685035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190</v>
      </c>
      <c r="I48" s="342">
        <f>INVESTMENT!I48</f>
        <v>1520</v>
      </c>
      <c r="J48" s="269"/>
      <c r="K48" s="341">
        <f>INVESTMENT!K48</f>
        <v>482600</v>
      </c>
      <c r="L48" s="332"/>
      <c r="M48" s="341">
        <f>M32+M43+M45+M46+M47</f>
        <v>228760</v>
      </c>
      <c r="N48" s="341">
        <f>N32+N43+N45+N47+N58+N46</f>
        <v>253840</v>
      </c>
      <c r="P48" s="341">
        <f>P32+P43+P45+P46+P47</f>
        <v>380000</v>
      </c>
      <c r="Q48" s="341">
        <f>Q32+Q43+Q45+Q47+Q58+Q46</f>
        <v>151240</v>
      </c>
      <c r="R48" s="333">
        <f>IF(ISBLANK(A48),"",IF(P48&gt;0,Q48/P48,0))</f>
        <v>0.39800000000000002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190</v>
      </c>
      <c r="I59" s="330">
        <f>I48+I56</f>
        <v>1520</v>
      </c>
      <c r="J59" s="269"/>
      <c r="K59" s="331">
        <f>K48</f>
        <v>482600</v>
      </c>
      <c r="L59" s="332"/>
      <c r="M59" s="332">
        <f>M48+M58</f>
        <v>228760</v>
      </c>
      <c r="N59" s="331">
        <f>N48</f>
        <v>253840</v>
      </c>
      <c r="P59" s="332">
        <f>P48+P58</f>
        <v>380000</v>
      </c>
      <c r="Q59" s="331">
        <f>INVESTMENT!Q59</f>
        <v>151240</v>
      </c>
      <c r="R59" s="333">
        <f>INVESTMENT!R59</f>
        <v>0.39800000000000002</v>
      </c>
      <c r="S59" s="292">
        <f>INVESTMENT!S59</f>
        <v>0.21259842519685035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380000</v>
      </c>
      <c r="Q61" s="281">
        <f>INVESTMENT!Q61</f>
        <v>151240</v>
      </c>
      <c r="R61" s="351">
        <f>INVESTMENT!R61</f>
        <v>0.39800000000000002</v>
      </c>
      <c r="S61" s="352">
        <f>INVESTMENT!S61</f>
        <v>0.21259842519685035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180.5</v>
      </c>
      <c r="I63" s="330">
        <f>INVESTMENT!I63</f>
        <v>1444</v>
      </c>
      <c r="J63" s="269"/>
      <c r="K63" s="331">
        <f>INVESTMENT!K63</f>
        <v>458470</v>
      </c>
      <c r="L63" s="332"/>
      <c r="M63" s="331">
        <f>INVESTMENT!M63</f>
        <v>217322</v>
      </c>
      <c r="N63" s="331">
        <f>INVESTMENT!N63</f>
        <v>241148</v>
      </c>
      <c r="O63" s="291"/>
      <c r="P63" s="332">
        <f>INVESTMENT!P63</f>
        <v>361000</v>
      </c>
      <c r="Q63" s="331">
        <f>INVESTMENT!Q63</f>
        <v>143678</v>
      </c>
      <c r="R63" s="333">
        <f>INVESTMENT!R63</f>
        <v>0.39800000000000002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228</v>
      </c>
      <c r="I64" s="330">
        <f>INVESTMENT!I64</f>
        <v>1824</v>
      </c>
      <c r="J64" s="269"/>
      <c r="K64" s="331">
        <f>INVESTMENT!K64</f>
        <v>579120</v>
      </c>
      <c r="L64" s="332"/>
      <c r="M64" s="331">
        <f>INVESTMENT!M64</f>
        <v>274512</v>
      </c>
      <c r="N64" s="331">
        <f>INVESTMENT!N64</f>
        <v>304608</v>
      </c>
      <c r="O64" s="291"/>
      <c r="P64" s="332">
        <f>INVESTMENT!P64</f>
        <v>456000</v>
      </c>
      <c r="Q64" s="331">
        <f>INVESTMENT!Q64</f>
        <v>181488</v>
      </c>
      <c r="R64" s="333">
        <f>INVESTMENT!R64</f>
        <v>0.39800000000000002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ProfitCenter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43182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43313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LSA</v>
      </c>
      <c r="B14" s="190" t="str">
        <f>IF(BID!B14="","",BID!B14)</f>
        <v>BSW v9</v>
      </c>
      <c r="C14" s="137"/>
      <c r="D14" s="401">
        <f>IF(BID!D14="","",BID!D14)</f>
        <v>2</v>
      </c>
      <c r="E14" s="402">
        <f>IF(BID!E14="","",BID!E14)</f>
        <v>43182</v>
      </c>
      <c r="F14" s="402">
        <f>IF(BID!F14="","",BID!F14)</f>
        <v>43313</v>
      </c>
      <c r="G14" s="403">
        <f>IF(BID!G14="","",BID!G14)</f>
        <v>0.6</v>
      </c>
      <c r="H14" s="404">
        <f>IF(BID!H14="","",BID!H14)</f>
        <v>112.8</v>
      </c>
      <c r="I14" s="404">
        <f>IF(BID!I14="","",BID!I14)</f>
        <v>902.4</v>
      </c>
      <c r="J14" s="404">
        <f>IF(BID!J14="","",BID!J14)</f>
        <v>305</v>
      </c>
      <c r="K14" s="405">
        <f>IF(BID!K14="","",BID!K14)</f>
        <v>275232</v>
      </c>
      <c r="L14" s="217">
        <f>IF(BID!L14="","",BID!L14)</f>
        <v>114</v>
      </c>
      <c r="M14" s="405">
        <f>IF(BID!M14="","",BID!M14)</f>
        <v>102873.59999999999</v>
      </c>
      <c r="N14" s="405">
        <f>IF(BID!N14="","",BID!N14)</f>
        <v>172358.40000000002</v>
      </c>
      <c r="O14" s="217">
        <f>IF(BID!O14="","",BID!O14)</f>
        <v>210</v>
      </c>
      <c r="P14" s="405">
        <f>IF(BID!P14="","",BID!P14)</f>
        <v>189504</v>
      </c>
      <c r="Q14" s="405">
        <f>IF(BID!Q14="","",BID!Q14)</f>
        <v>86630.400000000009</v>
      </c>
      <c r="R14" s="406">
        <f>IF(BID!R14="","",BID!R14)</f>
        <v>0.45714285714285718</v>
      </c>
      <c r="S14" s="407">
        <f>IF(BID!S14="","",BID!S14)</f>
        <v>0.31147540983606559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-NA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EL</v>
      </c>
      <c r="B15" s="190" t="str">
        <f>IF(BID!B15="","",BID!B15)</f>
        <v/>
      </c>
      <c r="C15" s="137"/>
      <c r="D15" s="401">
        <f>IF(BID!D15="","",BID!D15)</f>
        <v>1</v>
      </c>
      <c r="E15" s="402">
        <f>IF(BID!E15="","",BID!E15)</f>
        <v>43183</v>
      </c>
      <c r="F15" s="402">
        <f>IF(BID!F15="","",BID!F15)</f>
        <v>43313</v>
      </c>
      <c r="G15" s="403">
        <f>IF(BID!G15="","",BID!G15)</f>
        <v>0.7</v>
      </c>
      <c r="H15" s="404">
        <f>IF(BID!H15="","",BID!H15)</f>
        <v>65.099999999999994</v>
      </c>
      <c r="I15" s="404">
        <f>IF(BID!I15="","",BID!I15)</f>
        <v>520.79999999999995</v>
      </c>
      <c r="J15" s="404">
        <f>IF(BID!J15="","",BID!J15)</f>
        <v>305</v>
      </c>
      <c r="K15" s="405">
        <f>IF(BID!K15="","",BID!K15)</f>
        <v>158844</v>
      </c>
      <c r="L15" s="217">
        <f>IF(BID!L15="","",BID!L15)</f>
        <v>139</v>
      </c>
      <c r="M15" s="405">
        <f>IF(BID!M15="","",BID!M15)</f>
        <v>72391.199999999997</v>
      </c>
      <c r="N15" s="405">
        <f>IF(BID!N15="","",BID!N15)</f>
        <v>86452.800000000003</v>
      </c>
      <c r="O15" s="217">
        <f>IF(BID!O15="","",BID!O15)</f>
        <v>200</v>
      </c>
      <c r="P15" s="405">
        <f>IF(BID!P15="","",BID!P15)</f>
        <v>104159.99999999999</v>
      </c>
      <c r="Q15" s="405">
        <f>IF(BID!Q15="","",BID!Q15)</f>
        <v>31768.799999999988</v>
      </c>
      <c r="R15" s="406">
        <f>IF(BID!R15="","",BID!R15)</f>
        <v>0.30499999999999994</v>
      </c>
      <c r="S15" s="407">
        <f>IF(BID!S15="","",BID!S15)</f>
        <v>0.34426229508196726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>DA</v>
      </c>
      <c r="B16" s="190" t="str">
        <f>IF(BID!B16="","",BID!B16)</f>
        <v/>
      </c>
      <c r="C16" s="137"/>
      <c r="D16" s="401">
        <f>IF(BID!D16="","",BID!D16)</f>
        <v>1</v>
      </c>
      <c r="E16" s="402">
        <f>IF(BID!E16="","",BID!E16)</f>
        <v>43184</v>
      </c>
      <c r="F16" s="402">
        <f>IF(BID!F16="","",BID!F16)</f>
        <v>43313</v>
      </c>
      <c r="G16" s="403">
        <f>IF(BID!G16="","",BID!G16)</f>
        <v>0.8</v>
      </c>
      <c r="H16" s="404">
        <f>IF(BID!H16="","",BID!H16)</f>
        <v>74.400000000000006</v>
      </c>
      <c r="I16" s="404">
        <f>IF(BID!I16="","",BID!I16)</f>
        <v>595.20000000000005</v>
      </c>
      <c r="J16" s="404">
        <f>IF(BID!J16="","",BID!J16)</f>
        <v>305</v>
      </c>
      <c r="K16" s="405">
        <f>IF(BID!K16="","",BID!K16)</f>
        <v>181536</v>
      </c>
      <c r="L16" s="217">
        <f>IF(BID!L16="","",BID!L16)</f>
        <v>125</v>
      </c>
      <c r="M16" s="405">
        <f>IF(BID!M16="","",BID!M16)</f>
        <v>74400</v>
      </c>
      <c r="N16" s="405">
        <f>IF(BID!N16="","",BID!N16)</f>
        <v>107136</v>
      </c>
      <c r="O16" s="217">
        <f>IF(BID!O16="","",BID!O16)</f>
        <v>220</v>
      </c>
      <c r="P16" s="405">
        <f>IF(BID!P16="","",BID!P16)</f>
        <v>130944.00000000001</v>
      </c>
      <c r="Q16" s="405">
        <f>IF(BID!Q16="","",BID!Q16)</f>
        <v>56544.000000000015</v>
      </c>
      <c r="R16" s="406">
        <f>IF(BID!R16="","",BID!R16)</f>
        <v>0.43181818181818188</v>
      </c>
      <c r="S16" s="407">
        <f>IF(BID!S16="","",BID!S16)</f>
        <v>0.2786885245901638</v>
      </c>
      <c r="T16" s="408">
        <f>IF(ISBLANK(A16),"",VLOOKUP(A16,gsrates!$A$3:$AL$38,38,FALSE))</f>
        <v>1</v>
      </c>
      <c r="V16" s="381">
        <f t="shared" si="1"/>
        <v>595.20000000000005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-NA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-NA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-NA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-NA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-NA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-NA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-NA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-NA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-NA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252.29999999999998</v>
      </c>
      <c r="I32" s="412">
        <f>SUM(I14:I31)</f>
        <v>2018.3999999999999</v>
      </c>
      <c r="J32" s="33"/>
      <c r="K32" s="413">
        <f>SUM(K14:K31)</f>
        <v>615612</v>
      </c>
      <c r="L32" s="215"/>
      <c r="M32" s="215">
        <f>SUM(M14:M31)</f>
        <v>249664.8</v>
      </c>
      <c r="N32" s="413">
        <f>SUM(N14:N31)</f>
        <v>365947.2</v>
      </c>
      <c r="P32" s="215">
        <f>SUM(P14:P31)</f>
        <v>424608</v>
      </c>
      <c r="Q32" s="413">
        <f>SUM(Q14:Q31)</f>
        <v>174943.2</v>
      </c>
      <c r="R32" s="414">
        <f>IF(H32=0,"",Q32/P32)</f>
        <v>0.41201107845353835</v>
      </c>
      <c r="S32" s="51">
        <f>IF(H32=0,"",1-P32/K32)</f>
        <v>0.31026685639656149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-NA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-NA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-NA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76951.5</v>
      </c>
      <c r="L45" s="215"/>
      <c r="M45" s="421">
        <f>BID!M45</f>
        <v>31208.1</v>
      </c>
      <c r="N45" s="421">
        <f>BID!N45</f>
        <v>45743.4</v>
      </c>
      <c r="P45" s="421">
        <f>BID!P45</f>
        <v>53076</v>
      </c>
      <c r="Q45" s="421">
        <f>BID!Q45</f>
        <v>21867.9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252.29999999999998</v>
      </c>
      <c r="I48" s="422">
        <f>BID!I48</f>
        <v>2018.3999999999999</v>
      </c>
      <c r="J48" s="33"/>
      <c r="K48" s="421">
        <f>BID!K48</f>
        <v>692563.5</v>
      </c>
      <c r="L48" s="215"/>
      <c r="M48" s="421">
        <f>BID!M48</f>
        <v>280872.89999999997</v>
      </c>
      <c r="N48" s="421">
        <f>BID!N48</f>
        <v>411690.60000000003</v>
      </c>
      <c r="P48" s="421">
        <f>BID!P48</f>
        <v>477684</v>
      </c>
      <c r="Q48" s="421">
        <f>BID!Q48</f>
        <v>196811.1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252.29999999999998</v>
      </c>
      <c r="I59" s="412">
        <f>I48+I56</f>
        <v>2018.3999999999999</v>
      </c>
      <c r="J59" s="33"/>
      <c r="K59" s="413">
        <f>K48</f>
        <v>692563.5</v>
      </c>
      <c r="L59" s="215"/>
      <c r="M59" s="215">
        <f>M48+M58</f>
        <v>280872.89999999997</v>
      </c>
      <c r="N59" s="413">
        <f>N48</f>
        <v>411690.60000000003</v>
      </c>
      <c r="P59" s="215">
        <f>P48+P58</f>
        <v>477684</v>
      </c>
      <c r="Q59" s="413">
        <f>Q48</f>
        <v>196811.1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477684</v>
      </c>
      <c r="Q61" s="67">
        <f>P61-M59</f>
        <v>196811.10000000003</v>
      </c>
      <c r="R61" s="414">
        <f>BID!R59</f>
        <v>0.41201107845353835</v>
      </c>
      <c r="S61" s="414">
        <f>BID!S59</f>
        <v>0.31026685639656149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239.68499999999997</v>
      </c>
      <c r="I63" s="412">
        <f>I59*(1-$G$8)</f>
        <v>1917.4799999999998</v>
      </c>
      <c r="J63" s="33"/>
      <c r="K63" s="413">
        <f>K59*(1-$G$8)</f>
        <v>657935.32499999995</v>
      </c>
      <c r="L63" s="215"/>
      <c r="M63" s="215">
        <f>M59*(1-$G$8)</f>
        <v>266829.25499999995</v>
      </c>
      <c r="N63" s="413">
        <f>N59*(1-$G$8)</f>
        <v>391106.07</v>
      </c>
      <c r="O63" s="386"/>
      <c r="P63" s="215">
        <f>P59*(1-$G$8)</f>
        <v>453799.8</v>
      </c>
      <c r="Q63" s="413">
        <f>Q59*(1-$G$8)</f>
        <v>186970.54499999998</v>
      </c>
      <c r="R63" s="414">
        <f>IF(ISBLANK(A63),"",IF(P63&gt;0,Q63/P63,0))</f>
        <v>0.41201107845353829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302.76</v>
      </c>
      <c r="I64" s="412">
        <f>I59*(1+$G$9)</f>
        <v>2422.08</v>
      </c>
      <c r="J64" s="33"/>
      <c r="K64" s="413">
        <f>K59*(1+$G$9)</f>
        <v>831076.2</v>
      </c>
      <c r="L64" s="215"/>
      <c r="M64" s="215">
        <f>M59*(1+$G$9)</f>
        <v>337047.47999999992</v>
      </c>
      <c r="N64" s="413">
        <f>N59*(1+$G$9)</f>
        <v>494028.72000000003</v>
      </c>
      <c r="O64" s="386"/>
      <c r="P64" s="215">
        <f>P59*(1+$G$9)</f>
        <v>573220.79999999993</v>
      </c>
      <c r="Q64" s="413">
        <f>Q59*(1+$G$9)</f>
        <v>236173.32</v>
      </c>
      <c r="R64" s="414">
        <f>IF(ISBLANK(A64),"",IF(P64&gt;0,Q64/P64,0))</f>
        <v>0.4120110784535384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E20" sqref="E20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ProfitCenter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43182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43313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268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213</v>
      </c>
      <c r="B14" s="156" t="s">
        <v>265</v>
      </c>
      <c r="C14" s="86"/>
      <c r="D14" s="372">
        <v>2</v>
      </c>
      <c r="E14" s="157">
        <v>43182</v>
      </c>
      <c r="F14" s="157">
        <v>43313</v>
      </c>
      <c r="G14" s="158">
        <v>0.6</v>
      </c>
      <c r="H14" s="159">
        <f>IF(D14&gt;0,IF(ISBLANK(A14),"",(NETWORKDAYS(E14,F14)*G14)*D14),"")</f>
        <v>112.8</v>
      </c>
      <c r="I14" s="160">
        <f t="shared" ref="I14:I31" si="0">IF(ISBLANK(A14),"",H14*$B$9)</f>
        <v>902.4</v>
      </c>
      <c r="J14" s="172">
        <f>IF(ISBLANK(A14),"",VLOOKUP(A14,gsrates!$A$3:$AK$38,VLOOKUP($B$5,gsrates!$A$41:$C$58,2,FALSE),FALSE))</f>
        <v>305</v>
      </c>
      <c r="K14" s="79">
        <f t="shared" ref="K14:K31" si="1">IF(ISBLANK(A14),"",I14*J14)</f>
        <v>275232</v>
      </c>
      <c r="L14" s="203">
        <f>IF(ISBLANK(A14),"",VLOOKUP(A14,gsrates!$A$3:$AK$38,VLOOKUP($B$5,gsrates!$A$41:$C$58,3,FALSE),FALSE))</f>
        <v>114</v>
      </c>
      <c r="M14" s="203">
        <f t="shared" ref="M14:M31" si="2">IF(ISBLANK(A14),"",L14*H14*8)</f>
        <v>102873.59999999999</v>
      </c>
      <c r="N14" s="79">
        <f t="shared" ref="N14:N31" si="3">IF(ISBLANK(A14),"",K14-M14)</f>
        <v>172358.40000000002</v>
      </c>
      <c r="O14" s="173">
        <v>210</v>
      </c>
      <c r="P14" s="203">
        <f t="shared" ref="P14:P31" si="4">IF(ISBLANK(A14),"",H14*O14*$B$9)</f>
        <v>189504</v>
      </c>
      <c r="Q14" s="79">
        <f t="shared" ref="Q14:Q31" si="5">IF(ISBLANK(A14),"",P14-M14)</f>
        <v>86630.400000000009</v>
      </c>
      <c r="R14" s="151">
        <f t="shared" ref="R14:R31" si="6">IF(ISBLANK(A14),"",Q14/P14)</f>
        <v>0.45714285714285718</v>
      </c>
      <c r="S14" s="162">
        <f t="shared" ref="S14:S31" si="7">IF(ISBLANK(A14),"",1-P14/K14)</f>
        <v>0.31147540983606559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-NA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210</v>
      </c>
      <c r="B15" s="156"/>
      <c r="C15" s="86"/>
      <c r="D15" s="372">
        <v>1</v>
      </c>
      <c r="E15" s="157">
        <v>43183</v>
      </c>
      <c r="F15" s="157">
        <v>43313</v>
      </c>
      <c r="G15" s="158">
        <v>0.7</v>
      </c>
      <c r="H15" s="159">
        <f>IF(D15&gt;0,(IF(ISBLANK(A15),"",NETWORKDAYS(E15,F15)*G15)*D15),"")</f>
        <v>65.099999999999994</v>
      </c>
      <c r="I15" s="160">
        <f t="shared" si="0"/>
        <v>520.79999999999995</v>
      </c>
      <c r="J15" s="172">
        <f>IF(ISBLANK(A15),"",VLOOKUP(A15,gsrates!$A$3:$AK$38,VLOOKUP($B$5,gsrates!$A$41:$C$58,2,FALSE),FALSE))</f>
        <v>305</v>
      </c>
      <c r="K15" s="79">
        <f t="shared" si="1"/>
        <v>158844</v>
      </c>
      <c r="L15" s="203">
        <f>IF(ISBLANK(A15),"",VLOOKUP(A15,gsrates!$A$3:$AK$38,VLOOKUP($B$5,gsrates!$A$41:$C$58,3,FALSE),FALSE))</f>
        <v>139</v>
      </c>
      <c r="M15" s="203">
        <f t="shared" si="2"/>
        <v>72391.199999999997</v>
      </c>
      <c r="N15" s="79">
        <f t="shared" si="3"/>
        <v>86452.800000000003</v>
      </c>
      <c r="O15" s="173">
        <v>200</v>
      </c>
      <c r="P15" s="203">
        <f t="shared" si="4"/>
        <v>104159.99999999999</v>
      </c>
      <c r="Q15" s="79">
        <f t="shared" si="5"/>
        <v>31768.799999999988</v>
      </c>
      <c r="R15" s="151">
        <f t="shared" si="6"/>
        <v>0.30499999999999994</v>
      </c>
      <c r="S15" s="162">
        <f t="shared" si="7"/>
        <v>0.34426229508196726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 t="s">
        <v>227</v>
      </c>
      <c r="B16" s="156"/>
      <c r="C16" s="86"/>
      <c r="D16" s="372">
        <v>1</v>
      </c>
      <c r="E16" s="157">
        <v>43184</v>
      </c>
      <c r="F16" s="157">
        <v>43313</v>
      </c>
      <c r="G16" s="158">
        <v>0.8</v>
      </c>
      <c r="H16" s="159">
        <f t="shared" ref="H16:H30" si="10">IF(D16&gt;0,(IF(ISBLANK(A16),"",NETWORKDAYS(E16,F16)*G16)*D16),"")</f>
        <v>74.400000000000006</v>
      </c>
      <c r="I16" s="160">
        <f t="shared" si="0"/>
        <v>595.20000000000005</v>
      </c>
      <c r="J16" s="172">
        <f>IF(ISBLANK(A16),"",VLOOKUP(A16,gsrates!$A$3:$AK$38,VLOOKUP($B$5,gsrates!$A$41:$C$58,2,FALSE),FALSE))</f>
        <v>305</v>
      </c>
      <c r="K16" s="79">
        <f t="shared" si="1"/>
        <v>181536</v>
      </c>
      <c r="L16" s="203">
        <f>IF(ISBLANK(A16),"",VLOOKUP(A16,gsrates!$A$3:$AK$38,VLOOKUP($B$5,gsrates!$A$41:$C$58,3,FALSE),FALSE))</f>
        <v>125</v>
      </c>
      <c r="M16" s="203">
        <f t="shared" si="2"/>
        <v>74400</v>
      </c>
      <c r="N16" s="79">
        <f t="shared" si="3"/>
        <v>107136</v>
      </c>
      <c r="O16" s="173">
        <v>220</v>
      </c>
      <c r="P16" s="203">
        <f t="shared" si="4"/>
        <v>130944.00000000001</v>
      </c>
      <c r="Q16" s="79">
        <f t="shared" si="5"/>
        <v>56544.000000000015</v>
      </c>
      <c r="R16" s="151">
        <f t="shared" si="6"/>
        <v>0.43181818181818188</v>
      </c>
      <c r="S16" s="162">
        <f t="shared" si="7"/>
        <v>0.2786885245901638</v>
      </c>
      <c r="T16" s="360">
        <f>IF(ISBLANK(A16),"",VLOOKUP(A16,gsrates!$A$3:$AL$38,38,FALSE))</f>
        <v>1</v>
      </c>
      <c r="V16" s="366">
        <f t="shared" si="9"/>
        <v>595.20000000000005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252.29999999999998</v>
      </c>
      <c r="I32" s="9">
        <f>SUM(I14:I31)</f>
        <v>2018.3999999999999</v>
      </c>
      <c r="J32" s="31"/>
      <c r="K32" s="36">
        <f>SUM(K14:K31)</f>
        <v>615612</v>
      </c>
      <c r="L32" s="205"/>
      <c r="M32" s="205">
        <f>SUM(M14:M31)</f>
        <v>249664.8</v>
      </c>
      <c r="N32" s="36">
        <f>SUM(N14:N31)</f>
        <v>365947.2</v>
      </c>
      <c r="O32" s="33"/>
      <c r="P32" s="205">
        <f>SUM(P14:P31)</f>
        <v>424608</v>
      </c>
      <c r="Q32" s="36">
        <f>SUM(Q14:Q31)</f>
        <v>174943.2</v>
      </c>
      <c r="R32" s="15">
        <f>IF(H32=0,"",Q32/P32)</f>
        <v>0.41201107845353835</v>
      </c>
      <c r="S32" s="8">
        <f>IF(H32=0,"",1-P32/K32)</f>
        <v>0.31026685639656149</v>
      </c>
      <c r="T32" s="361">
        <f>SUM(T14:T31)</f>
        <v>1</v>
      </c>
      <c r="V32" s="361">
        <f>SUM(V14:V31)</f>
        <v>595.20000000000005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76951.5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31208.1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45743.4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53076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21867.9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252.29999999999998</v>
      </c>
      <c r="I48" s="448">
        <f>IF(ISBLANK($B$6),0,H48*$B$9)</f>
        <v>2018.3999999999999</v>
      </c>
      <c r="J48" s="33"/>
      <c r="K48" s="17">
        <f>K32+K43+K45+K46+K47</f>
        <v>692563.5</v>
      </c>
      <c r="L48" s="205"/>
      <c r="M48" s="17">
        <f>M32+M43+M45+M46+M47</f>
        <v>280872.89999999997</v>
      </c>
      <c r="N48" s="17">
        <f>N32+N43+N45+N47+N58+N46</f>
        <v>411690.60000000003</v>
      </c>
      <c r="P48" s="17">
        <f>P32+P43+P45+P46+P47</f>
        <v>477684</v>
      </c>
      <c r="Q48" s="17">
        <f>Q32+Q43+Q45+Q47+Q58+Q46</f>
        <v>196811.1</v>
      </c>
      <c r="R48" s="15">
        <f>IF(ISBLANK(A48),"",IF(P48&gt;0,Q48/P48,0))</f>
        <v>0.41201107845353835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252.29999999999998</v>
      </c>
      <c r="I59" s="9">
        <f>I48+I56</f>
        <v>2018.3999999999999</v>
      </c>
      <c r="J59" s="31"/>
      <c r="K59" s="36">
        <f>K48</f>
        <v>692563.5</v>
      </c>
      <c r="L59" s="205"/>
      <c r="M59" s="205">
        <f>M48+M58</f>
        <v>280872.89999999997</v>
      </c>
      <c r="N59" s="36">
        <f>N48</f>
        <v>411690.60000000003</v>
      </c>
      <c r="O59" s="33"/>
      <c r="P59" s="205">
        <f>P48+P58</f>
        <v>477684</v>
      </c>
      <c r="Q59" s="36">
        <f>Q48</f>
        <v>196811.1</v>
      </c>
      <c r="R59" s="15">
        <f>IF(ISBLANK(A59),"",IF(P59&gt;0,Q59/P59,0))</f>
        <v>0.41201107845353835</v>
      </c>
      <c r="S59" s="8">
        <f>IF(ISBLANK(A59),"",IF(K59&gt;0,1-P59/K59,1))</f>
        <v>0.31026685639656149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477684</v>
      </c>
      <c r="Q61" s="43">
        <f>P61-M59</f>
        <v>196811.10000000003</v>
      </c>
      <c r="R61" s="44">
        <f>IF(ISBLANK(A61),"",IF(P61&gt;0,Q61/P61,0))</f>
        <v>0.4120110784535384</v>
      </c>
      <c r="S61" s="45">
        <f>IF(ISBLANK(A61),"",IF(K59&gt;0,1-P61/K59,1))</f>
        <v>0.31026685639656149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239.68499999999997</v>
      </c>
      <c r="I63" s="9">
        <f>I59*(1-$G$8)</f>
        <v>1917.4799999999998</v>
      </c>
      <c r="J63" s="31"/>
      <c r="K63" s="36">
        <f>K59*(1-$G$8)</f>
        <v>657935.32499999995</v>
      </c>
      <c r="L63" s="205"/>
      <c r="M63" s="205">
        <f>M59*(1-$G$8)</f>
        <v>266829.25499999995</v>
      </c>
      <c r="N63" s="36">
        <f>N59*(1-$G$8)</f>
        <v>391106.07</v>
      </c>
      <c r="O63" s="49"/>
      <c r="P63" s="205">
        <f>P59*(1-$G$8)</f>
        <v>453799.8</v>
      </c>
      <c r="Q63" s="36">
        <f>Q59*(1-$G$8)</f>
        <v>186970.54499999998</v>
      </c>
      <c r="R63" s="15">
        <f>IF(ISBLANK(A63),"",IF(P63&gt;0,Q63/P63,0))</f>
        <v>0.41201107845353829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302.76</v>
      </c>
      <c r="I64" s="9">
        <f>I59*(1+$G$9)</f>
        <v>2422.08</v>
      </c>
      <c r="J64" s="31"/>
      <c r="K64" s="36">
        <f>K59*(1+$G$9)</f>
        <v>831076.2</v>
      </c>
      <c r="L64" s="205"/>
      <c r="M64" s="205">
        <f>M59*(1+$G$9)</f>
        <v>337047.47999999992</v>
      </c>
      <c r="N64" s="36">
        <f>N59*(1+$G$9)</f>
        <v>494028.72000000003</v>
      </c>
      <c r="O64" s="49"/>
      <c r="P64" s="205">
        <f>P59*(1+$G$9)</f>
        <v>573220.79999999993</v>
      </c>
      <c r="Q64" s="36">
        <f>Q59*(1+$G$9)</f>
        <v>236173.32</v>
      </c>
      <c r="R64" s="15">
        <f>IF(ISBLANK(A64),"",IF(P64&gt;0,Q64/P64,0))</f>
        <v>0.4120110784535384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heet="1"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ProfitCenter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247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tabSelected="1"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F6" sqref="F6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">
        <v>271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43181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43314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43181</v>
      </c>
      <c r="F15" s="157">
        <v>43313</v>
      </c>
      <c r="G15" s="158">
        <v>1</v>
      </c>
      <c r="H15" s="159">
        <f t="shared" ref="H15:H31" si="0">IF(ISBLANK(A15),"",NETWORKDAYS(E15,F15)*G15)</f>
        <v>95</v>
      </c>
      <c r="I15" s="160">
        <f t="shared" ref="I15:I31" si="1">IF(ISBLANK(A15),"",H15*$B$10)</f>
        <v>760</v>
      </c>
      <c r="J15" s="172">
        <f>IF(ISBLANK(A15),"",VLOOKUP(A15,gsrates!$A$3:$AK$38,VLOOKUP($B$6,gsrates!$A$41:$C$58,2,FALSE),FALSE))</f>
        <v>330</v>
      </c>
      <c r="K15" s="79">
        <f t="shared" ref="K15:K31" si="2">IF(ISBLANK(A15),"",I15*J15)</f>
        <v>250800</v>
      </c>
      <c r="L15" s="203">
        <f>IF(ISBLANK(A15),"",VLOOKUP(A15,gsrates!$A$3:$AK$38,VLOOKUP($B$6,gsrates!$A$41:$C$58,3,FALSE),FALSE))</f>
        <v>162</v>
      </c>
      <c r="M15" s="203">
        <f t="shared" ref="M15:M31" si="3">IF(ISBLANK(A15),"",L15*H15*8)</f>
        <v>123120</v>
      </c>
      <c r="N15" s="79">
        <f t="shared" ref="N15:N31" si="4">IF(ISBLANK(A15),"",K15-M15)</f>
        <v>127680</v>
      </c>
      <c r="O15" s="173">
        <v>300</v>
      </c>
      <c r="P15" s="203">
        <f t="shared" ref="P15:P31" si="5">IF(ISBLANK(A15),"",H15*O15*$B$10)</f>
        <v>228000</v>
      </c>
      <c r="Q15" s="79">
        <f t="shared" ref="Q15:Q31" si="6">IF(ISBLANK(A15),"",P15-M15)</f>
        <v>104880</v>
      </c>
      <c r="R15" s="151">
        <f t="shared" ref="R15:R31" si="7">IF(ISBLANK(A15),"",Q15/P15)</f>
        <v>0.46</v>
      </c>
      <c r="S15" s="162">
        <f t="shared" ref="S15:S31" si="8">IF(ISBLANK(A15),"",1-P15/K15)</f>
        <v>9.0909090909090939E-2</v>
      </c>
      <c r="T15" s="41"/>
      <c r="U15" s="41" t="str">
        <f t="shared" ref="U15:U31" si="9">IF(ISBLANK(A15),"",CONCATENATE(C15,"-",$B$6))</f>
        <v>-NA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43182</v>
      </c>
      <c r="F16" s="157">
        <v>43314</v>
      </c>
      <c r="G16" s="158">
        <v>1</v>
      </c>
      <c r="H16" s="159">
        <f t="shared" si="0"/>
        <v>95</v>
      </c>
      <c r="I16" s="160">
        <f t="shared" si="1"/>
        <v>760</v>
      </c>
      <c r="J16" s="172">
        <f>IF(ISBLANK(A16),"",VLOOKUP(A16,gsrates!$A$3:$AK$38,VLOOKUP($B$6,gsrates!$A$41:$C$58,2,FALSE),FALSE))</f>
        <v>305</v>
      </c>
      <c r="K16" s="79">
        <f t="shared" si="2"/>
        <v>231800</v>
      </c>
      <c r="L16" s="203">
        <f>IF(ISBLANK(A16),"",VLOOKUP(A16,gsrates!$A$3:$AK$38,VLOOKUP($B$6,gsrates!$A$41:$C$58,3,FALSE),FALSE))</f>
        <v>139</v>
      </c>
      <c r="M16" s="203">
        <f t="shared" si="3"/>
        <v>105640</v>
      </c>
      <c r="N16" s="79">
        <f t="shared" si="4"/>
        <v>126160</v>
      </c>
      <c r="O16" s="173">
        <v>200</v>
      </c>
      <c r="P16" s="203">
        <f t="shared" si="5"/>
        <v>152000</v>
      </c>
      <c r="Q16" s="79">
        <f t="shared" si="6"/>
        <v>46360</v>
      </c>
      <c r="R16" s="151">
        <f t="shared" si="7"/>
        <v>0.30499999999999999</v>
      </c>
      <c r="S16" s="162">
        <f t="shared" si="8"/>
        <v>0.34426229508196726</v>
      </c>
      <c r="T16" s="41"/>
      <c r="U16" s="41" t="str">
        <f t="shared" si="9"/>
        <v>-NA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190</v>
      </c>
      <c r="I32" s="9">
        <f>SUM(I15:I31)</f>
        <v>1520</v>
      </c>
      <c r="J32" s="31"/>
      <c r="K32" s="36">
        <f>SUM(K15:K31)</f>
        <v>482600</v>
      </c>
      <c r="L32" s="205"/>
      <c r="M32" s="205">
        <f>SUM(M15:M31)</f>
        <v>228760</v>
      </c>
      <c r="N32" s="36">
        <f>SUM(N15:N31)</f>
        <v>253840</v>
      </c>
      <c r="O32" s="33"/>
      <c r="P32" s="205">
        <f>SUM(P15:P31)</f>
        <v>380000</v>
      </c>
      <c r="Q32" s="36">
        <f>SUM(Q15:Q31)</f>
        <v>151240</v>
      </c>
      <c r="R32" s="15">
        <f>IF(H32=0,"",Q32/P32)</f>
        <v>0.39800000000000002</v>
      </c>
      <c r="S32" s="8">
        <f>IF(H32=0,"",1-P32/K32)</f>
        <v>0.21259842519685035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190</v>
      </c>
      <c r="I48" s="17">
        <f>I32+I43+I45+I46+I47</f>
        <v>1520</v>
      </c>
      <c r="J48" s="33"/>
      <c r="K48" s="17">
        <f>K32+K43+K45+K46+K47</f>
        <v>482600</v>
      </c>
      <c r="L48" s="205"/>
      <c r="M48" s="17">
        <f>M32+M43+M45+M46+M47</f>
        <v>228760</v>
      </c>
      <c r="N48" s="17">
        <f>N32+N43+N45+N47+N58+N46</f>
        <v>253840</v>
      </c>
      <c r="P48" s="17">
        <f>P32+P43+P45+P46+P47</f>
        <v>380000</v>
      </c>
      <c r="Q48" s="17">
        <f>Q32+Q43+Q45+Q47+Q58+Q46</f>
        <v>151240</v>
      </c>
      <c r="R48" s="15">
        <f>IF(ISBLANK(A48),"",IF(P48&gt;0,Q48/P48,0))</f>
        <v>0.39800000000000002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190</v>
      </c>
      <c r="I59" s="9">
        <f>I48+I56</f>
        <v>1520</v>
      </c>
      <c r="J59" s="31"/>
      <c r="K59" s="36">
        <f>K48</f>
        <v>482600</v>
      </c>
      <c r="L59" s="205"/>
      <c r="M59" s="205">
        <f>M48+M58</f>
        <v>228760</v>
      </c>
      <c r="N59" s="36">
        <f>N48</f>
        <v>253840</v>
      </c>
      <c r="O59" s="33"/>
      <c r="P59" s="205">
        <f>P48+P58</f>
        <v>380000</v>
      </c>
      <c r="Q59" s="36">
        <f>Q48</f>
        <v>151240</v>
      </c>
      <c r="R59" s="15">
        <f>IF(ISBLANK(A59),"",IF(P59&gt;0,Q59/P59,0))</f>
        <v>0.39800000000000002</v>
      </c>
      <c r="S59" s="8">
        <f>IF(ISBLANK(A59),"",IF(K59&gt;0,1-P59/K59,1))</f>
        <v>0.21259842519685035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380000</v>
      </c>
      <c r="Q61" s="43">
        <f>P61-M59</f>
        <v>151240</v>
      </c>
      <c r="R61" s="44">
        <f>IF(ISBLANK(A61),"",IF(P61&gt;0,Q61/P61,0))</f>
        <v>0.39800000000000002</v>
      </c>
      <c r="S61" s="45">
        <f>IF(ISBLANK(A61),"",IF(K59&gt;0,1-P61/K59,1))</f>
        <v>0.21259842519685035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180.5</v>
      </c>
      <c r="I63" s="9">
        <f>I59*(1-$G$9)</f>
        <v>1444</v>
      </c>
      <c r="J63" s="31"/>
      <c r="K63" s="36">
        <f>K59*(1-$G$9)</f>
        <v>458470</v>
      </c>
      <c r="L63" s="205"/>
      <c r="M63" s="205">
        <f>M59*(1-$G$9)</f>
        <v>217322</v>
      </c>
      <c r="N63" s="36">
        <f>N59*(1-$G$9)</f>
        <v>241148</v>
      </c>
      <c r="O63" s="49"/>
      <c r="P63" s="205">
        <f>P59*(1-$G$9)</f>
        <v>361000</v>
      </c>
      <c r="Q63" s="36">
        <f>Q59*(1-$G$9)</f>
        <v>143678</v>
      </c>
      <c r="R63" s="15">
        <f>IF(ISBLANK(A63),"",IF(P63&gt;0,Q63/P63,0))</f>
        <v>0.39800000000000002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228</v>
      </c>
      <c r="I64" s="9">
        <f>I59*(1+$G$10)</f>
        <v>1824</v>
      </c>
      <c r="J64" s="31"/>
      <c r="K64" s="36">
        <f>K59*(1+$G$10)</f>
        <v>579120</v>
      </c>
      <c r="L64" s="205"/>
      <c r="M64" s="205">
        <f>M59*(1+$G$10)</f>
        <v>274512</v>
      </c>
      <c r="N64" s="36">
        <f>N59*(1+$G$10)</f>
        <v>304608</v>
      </c>
      <c r="O64" s="49"/>
      <c r="P64" s="205">
        <f>P59*(1+$G$10)</f>
        <v>456000</v>
      </c>
      <c r="Q64" s="36">
        <f>Q59*(1+$G$10)</f>
        <v>181488</v>
      </c>
      <c r="R64" s="15">
        <f>IF(ISBLANK(A64),"",IF(P64&gt;0,Q64/P64,0))</f>
        <v>0.39800000000000002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GS-OPS-DELTA-WORK-INVESTMENT INV-14MAR2018-2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 xsi:nil="true"/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20180314T081744.256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4A3D88-48E6-4D38-9EF8-E09FCED87FB0}">
  <ds:schemaRefs>
    <ds:schemaRef ds:uri="http://schemas.microsoft.com/office/2006/metadata/properties"/>
    <ds:schemaRef ds:uri="http://schemas.microsoft.com/office/infopath/2007/PartnerControls"/>
    <ds:schemaRef ds:uri="87fa94fe-5ad7-4dd5-a490-5e3f0ba4b54b"/>
    <ds:schemaRef ds:uri="http://schemas.microsoft.com/sharepoint/v3"/>
    <ds:schemaRef ds:uri="25c0f05f-b61a-491f-a19d-37e3a42ecd69"/>
  </ds:schemaRefs>
</ds:datastoreItem>
</file>

<file path=customXml/itemProps2.xml><?xml version="1.0" encoding="utf-8"?>
<ds:datastoreItem xmlns:ds="http://schemas.openxmlformats.org/officeDocument/2006/customXml" ds:itemID="{F4C9EBC9-B7D3-4BE5-88D3-296ADEBD63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C0AF96-77A4-4199-9D32-5E081FFBA8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Ranjan, Sumit</cp:lastModifiedBy>
  <cp:lastPrinted>2015-07-01T11:20:10Z</cp:lastPrinted>
  <dcterms:created xsi:type="dcterms:W3CDTF">2006-01-03T13:58:19Z</dcterms:created>
  <dcterms:modified xsi:type="dcterms:W3CDTF">2018-03-17T05:53:30Z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